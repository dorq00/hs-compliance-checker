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0" activeTab="5" autoFilterDateGrouping="1"/>
  </bookViews>
  <sheets>
    <sheet name="DASHBOARD" sheetId="1" state="visible" r:id="rId1"/>
    <sheet name="CONFIG" sheetId="2" state="visible" r:id="rId2"/>
    <sheet name="INPUT" sheetId="3" state="visible" r:id="rId3"/>
    <sheet name="DB" sheetId="4" state="visible" r:id="rId4"/>
    <sheet name="HS_CHECK" sheetId="5" state="visible" r:id="rId5"/>
    <sheet name="PPI_CHECK" sheetId="6" state="visible" r:id="rId6"/>
    <sheet name="THO_OUTPUT" sheetId="7" state="visible" r:id="rId7"/>
    <sheet name="PPI_CVC" sheetId="8" state="visible" r:id="rId8"/>
    <sheet name="PPI_HSBC" sheetId="9" state="visible" r:id="rId9"/>
  </sheets>
  <definedNames>
    <definedName name="_xlnm._FilterDatabase" localSheetId="2" hidden="1">'INPUT'!$A$2:$G$302</definedName>
    <definedName name="_xlnm._FilterDatabase" localSheetId="3" hidden="1">'DB'!$A$2:$D$3539</definedName>
    <definedName name="_xlnm._FilterDatabase" localSheetId="4" hidden="1">'HS_CHECK'!$A$2:$I$302</definedName>
    <definedName name="_xlnm._FilterDatabase" localSheetId="5" hidden="1">'PPI_CHECK'!$A$2:$I$302</definedName>
    <definedName name="_xlnm._FilterDatabase" localSheetId="6" hidden="1">'THO_OUTPUT'!$A$2:$H$115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charset val="1"/>
      <family val="2"/>
      <color theme="1"/>
      <sz val="11"/>
    </font>
    <font>
      <name val="Cambria"/>
      <charset val="1"/>
      <b val="1"/>
      <color rgb="FFFFFFFF"/>
      <sz val="11"/>
    </font>
    <font>
      <name val="Arial"/>
      <charset val="1"/>
      <b val="1"/>
      <color rgb="FF2E75B6"/>
      <sz val="12"/>
    </font>
    <font>
      <name val="Arial"/>
      <charset val="1"/>
      <b val="1"/>
      <color rgb="FFFFFFFF"/>
      <sz val="11"/>
    </font>
    <font>
      <name val="Arial"/>
      <charset val="1"/>
      <b val="1"/>
      <color rgb="FF000000"/>
      <sz val="10"/>
    </font>
    <font>
      <name val="Arial"/>
      <charset val="1"/>
      <color rgb="FF000000"/>
      <sz val="10"/>
    </font>
    <font>
      <name val="Arial"/>
      <charset val="1"/>
      <b val="1"/>
      <color rgb="FF6C3483"/>
      <sz val="12"/>
    </font>
    <font>
      <name val="Cambria"/>
      <charset val="1"/>
      <b val="1"/>
      <color rgb="FFFFFFFF"/>
      <sz val="13"/>
    </font>
    <font>
      <name val="Cambria"/>
      <charset val="1"/>
      <b val="1"/>
      <sz val="11"/>
    </font>
    <font>
      <name val="Cambria"/>
      <charset val="1"/>
      <b val="1"/>
      <color rgb="FFC00000"/>
      <sz val="12"/>
    </font>
    <font>
      <name val="Cambria"/>
      <charset val="1"/>
      <i val="1"/>
      <color rgb="FF7F7F7F"/>
      <sz val="11"/>
    </font>
    <font>
      <name val="Cambria"/>
      <charset val="1"/>
      <i val="1"/>
      <color rgb="FF404040"/>
      <sz val="11"/>
    </font>
    <font>
      <name val="Cambria"/>
      <charset val="1"/>
      <i val="1"/>
      <color rgb="FFC00000"/>
      <sz val="11"/>
    </font>
    <font>
      <name val="Cambria"/>
      <charset val="1"/>
      <b val="1"/>
      <color rgb="FFFFFFFF"/>
      <sz val="12"/>
    </font>
    <font>
      <name val="Cambria"/>
      <charset val="1"/>
      <i val="1"/>
      <color rgb="FF2E75B6"/>
      <sz val="10"/>
    </font>
    <font>
      <name val="Cambria"/>
      <charset val="1"/>
      <i val="1"/>
      <color rgb="FF7F7F7F"/>
      <sz val="10"/>
    </font>
  </fonts>
  <fills count="12">
    <fill>
      <patternFill/>
    </fill>
    <fill>
      <patternFill patternType="gray125"/>
    </fill>
    <fill>
      <patternFill patternType="solid">
        <fgColor rgb="FF1F7145"/>
        <bgColor rgb="FF1D6B35"/>
      </patternFill>
    </fill>
    <fill>
      <patternFill patternType="solid">
        <fgColor rgb="FF2E75B6"/>
        <bgColor rgb="FF0066CC"/>
      </patternFill>
    </fill>
    <fill>
      <patternFill patternType="solid">
        <fgColor rgb="FFE8EDF3"/>
        <bgColor rgb="FFEBF3FB"/>
      </patternFill>
    </fill>
    <fill>
      <patternFill patternType="solid">
        <fgColor rgb="FF6C3483"/>
        <bgColor rgb="FF7030A0"/>
      </patternFill>
    </fill>
    <fill>
      <patternFill patternType="solid">
        <fgColor rgb="FFFFF2CC"/>
        <bgColor rgb="FFFDEBD0"/>
      </patternFill>
    </fill>
    <fill>
      <patternFill patternType="solid">
        <fgColor rgb="FF375623"/>
        <bgColor rgb="FF404040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E67E22"/>
      </patternFill>
    </fill>
    <fill>
      <patternFill patternType="solid">
        <fgColor rgb="FFEBF3FB"/>
        <bgColor rgb="FFE8EDF3"/>
      </patternFill>
    </fill>
    <fill>
      <patternFill patternType="solid">
        <fgColor rgb="FF7030A0"/>
        <bgColor rgb="FF6C3483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3" borderId="0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" fillId="3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vertical="center" wrapText="1"/>
    </xf>
    <xf numFmtId="49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49" fontId="5" fillId="4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wrapText="1"/>
    </xf>
    <xf numFmtId="0" fontId="1" fillId="8" borderId="1" applyAlignment="1" pivotButton="0" quotePrefix="0" xfId="0">
      <alignment horizontal="center" wrapText="1"/>
    </xf>
    <xf numFmtId="0" fontId="1" fillId="9" borderId="0" applyAlignment="1" pivotButton="0" quotePrefix="0" xfId="0">
      <alignment horizontal="center" wrapText="1"/>
    </xf>
    <xf numFmtId="0" fontId="14" fillId="10" borderId="0" applyAlignment="1" pivotButton="0" quotePrefix="0" xfId="0">
      <alignment wrapText="1"/>
    </xf>
    <xf numFmtId="0" fontId="15" fillId="0" borderId="0" pivotButton="0" quotePrefix="0" xfId="0"/>
    <xf numFmtId="0" fontId="1" fillId="11" borderId="0" applyAlignment="1" pivotButton="0" quotePrefix="0" xfId="0">
      <alignment horizontal="center" wrapText="1"/>
    </xf>
    <xf numFmtId="0" fontId="1" fillId="8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12" fillId="0" borderId="0" pivotButton="0" quotePrefix="0" xfId="0"/>
    <xf numFmtId="0" fontId="1" fillId="3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/>
    </xf>
    <xf numFmtId="0" fontId="13" fillId="9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/>
  </cellStyles>
  <dxfs count="8">
    <dxf>
      <font>
        <b val="1"/>
        <color rgb="FFC0392B"/>
      </font>
      <fill>
        <patternFill>
          <bgColor rgb="FFFADBD8"/>
        </patternFill>
      </fill>
    </dxf>
    <dxf>
      <font>
        <b val="1"/>
        <color rgb="FF1D6B35"/>
      </font>
      <fill>
        <patternFill>
          <bgColor rgb="FFD5EDDB"/>
        </patternFill>
      </fill>
    </dxf>
    <dxf>
      <font>
        <b val="1"/>
        <color rgb="FFC0392B"/>
      </font>
      <fill>
        <patternFill>
          <bgColor rgb="FFFADBD8"/>
        </patternFill>
      </fill>
    </dxf>
    <dxf>
      <font>
        <b val="1"/>
        <color rgb="FF1D6B35"/>
      </font>
      <fill>
        <patternFill>
          <bgColor rgb="FFD5EDDB"/>
        </patternFill>
      </fill>
    </dxf>
    <dxf>
      <font>
        <b val="1"/>
        <color rgb="FFC0392B"/>
      </font>
      <fill>
        <patternFill>
          <bgColor rgb="FFFADBD8"/>
        </patternFill>
      </fill>
    </dxf>
    <dxf>
      <font>
        <b val="1"/>
        <color rgb="FFE67E22"/>
      </font>
      <fill>
        <patternFill>
          <bgColor rgb="FFFDEBD0"/>
        </patternFill>
      </fill>
    </dxf>
    <dxf>
      <font>
        <b val="1"/>
        <color rgb="FFC0392B"/>
      </font>
      <fill>
        <patternFill>
          <bgColor rgb="FFFADBD8"/>
        </patternFill>
      </fill>
    </dxf>
    <dxf>
      <font>
        <b val="1"/>
        <color rgb="FF1D6B35"/>
      </font>
      <fill>
        <patternFill>
          <bgColor rgb="FFD5EDD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D6B35"/>
      <rgbColor rgb="FF000080"/>
      <rgbColor rgb="FF808000"/>
      <rgbColor rgb="FF800080"/>
      <rgbColor rgb="FF1F7145"/>
      <rgbColor rgb="FFBDC3C7"/>
      <rgbColor rgb="FF7F7F7F"/>
      <rgbColor rgb="FF9999FF"/>
      <rgbColor rgb="FF6C3483"/>
      <rgbColor rgb="FFFFF2CC"/>
      <rgbColor rgb="FFEBF3FB"/>
      <rgbColor rgb="FF660066"/>
      <rgbColor rgb="FFED7D3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3"/>
      <rgbColor rgb="FFD5EDDB"/>
      <rgbColor rgb="FFFDEBD0"/>
      <rgbColor rgb="FF99CCFF"/>
      <rgbColor rgb="FFFF99CC"/>
      <rgbColor rgb="FFCC99FF"/>
      <rgbColor rgb="FFFADBD8"/>
      <rgbColor rgb="FF2E75B6"/>
      <rgbColor rgb="FF33CCCC"/>
      <rgbColor rgb="FF99CC00"/>
      <rgbColor rgb="FFFFD700"/>
      <rgbColor rgb="FFFF9900"/>
      <rgbColor rgb="FFE67E22"/>
      <rgbColor rgb="FF666699"/>
      <rgbColor rgb="FF70AD47"/>
      <rgbColor rgb="FF003366"/>
      <rgbColor rgb="FF339966"/>
      <rgbColor rgb="FF003300"/>
      <rgbColor rgb="FF375623"/>
      <rgbColor rgb="FFC0392B"/>
      <rgbColor rgb="FF7030A0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70AD47"/>
    <outlinePr summaryBelow="1" summaryRight="1"/>
    <pageSetUpPr/>
  </sheetPr>
  <dimension ref="A1:F18"/>
  <sheetViews>
    <sheetView zoomScaleNormal="100" workbookViewId="0">
      <pane ySplit="2" topLeftCell="A3" activePane="bottomLeft" state="frozen"/>
      <selection pane="bottomLeft" activeCell="B18" sqref="B18"/>
    </sheetView>
  </sheetViews>
  <sheetFormatPr baseColWidth="8" defaultColWidth="8.7109375" defaultRowHeight="15"/>
  <cols>
    <col width="28" customWidth="1" min="1" max="1"/>
    <col width="16" customWidth="1" min="2" max="2"/>
    <col width="15" customWidth="1" min="3" max="6"/>
  </cols>
  <sheetData>
    <row r="1" ht="45" customHeight="1">
      <c r="A1" s="25" t="inlineStr">
        <is>
          <t>HS COMPLIANCE CHECKER — DASHBOARD</t>
        </is>
      </c>
    </row>
    <row r="2" ht="21.75" customHeight="1">
      <c r="A2" s="25" t="inlineStr">
        <is>
          <t>Real-time compliance overview — All metrics auto-update from checker sheets</t>
        </is>
      </c>
    </row>
    <row r="4" ht="15" customHeight="1">
      <c r="A4" s="26" t="inlineStr">
        <is>
          <t>HS CODE VALIDATION</t>
        </is>
      </c>
    </row>
    <row r="5" ht="30" customHeight="1">
      <c r="A5" s="2" t="inlineStr">
        <is>
          <t>Metric</t>
        </is>
      </c>
      <c r="B5" s="2" t="inlineStr">
        <is>
          <t>Value</t>
        </is>
      </c>
    </row>
    <row r="6" ht="15" customHeight="1">
      <c r="A6" s="3" t="inlineStr">
        <is>
          <t>Total Lines Checked</t>
        </is>
      </c>
      <c r="B6" s="4">
        <f>COUNTA(INPUT!A:A)-1</f>
        <v/>
      </c>
    </row>
    <row r="7" ht="15" customHeight="1">
      <c r="A7" s="5" t="inlineStr">
        <is>
          <t>HS Matches</t>
        </is>
      </c>
      <c r="B7" s="6">
        <f>COUNTIF(HS_CHECK!H:H,"MATCH")</f>
        <v/>
      </c>
    </row>
    <row r="8" ht="15" customHeight="1">
      <c r="A8" s="3" t="inlineStr">
        <is>
          <t>HS Mismatches</t>
        </is>
      </c>
      <c r="B8" s="4">
        <f>COUNTIF(HS_CHECK!H:H,"MISMATCH")</f>
        <v/>
      </c>
    </row>
    <row r="9" ht="15" customHeight="1">
      <c r="A9" s="5" t="inlineStr">
        <is>
          <t>New Items (Flagged)</t>
        </is>
      </c>
      <c r="B9" s="6">
        <f>COUNTIF(HS_CHECK!H:H,"NEW ITEM")</f>
        <v/>
      </c>
    </row>
    <row r="10" ht="15" customHeight="1">
      <c r="A10" s="3" t="inlineStr">
        <is>
          <t>HS Pass Rate</t>
        </is>
      </c>
      <c r="B10" s="7">
        <f>IFERROR(COUNTIF(HS_CHECK!H:H,"MATCH")/(COUNTA(INPUT!A:A)-1),0)</f>
        <v/>
      </c>
    </row>
    <row r="13" ht="15" customHeight="1">
      <c r="A13" s="27" t="inlineStr">
        <is>
          <t>PPI COMPLIANCE</t>
        </is>
      </c>
    </row>
    <row r="14" ht="30" customHeight="1">
      <c r="A14" s="8" t="inlineStr">
        <is>
          <t>Metric</t>
        </is>
      </c>
      <c r="B14" s="8" t="inlineStr">
        <is>
          <t>Value</t>
        </is>
      </c>
    </row>
    <row r="15" ht="15" customHeight="1">
      <c r="A15" s="5" t="inlineStr">
        <is>
          <t>PPI Compliant</t>
        </is>
      </c>
      <c r="B15" s="6">
        <f>COUNTIF(PPI_CHECK!F:F,"IN PPI")</f>
        <v/>
      </c>
    </row>
    <row r="16" ht="15" customHeight="1">
      <c r="A16" s="3" t="inlineStr">
        <is>
          <t>PPI Non-Compliant</t>
        </is>
      </c>
      <c r="B16" s="4">
        <f>COUNTIF(PPI_CHECK!F:F,"NOT IN PPI")</f>
        <v/>
      </c>
    </row>
    <row r="17" ht="15" customHeight="1">
      <c r="A17" s="5" t="inlineStr">
        <is>
          <t>Qty Exceeded</t>
        </is>
      </c>
      <c r="B17" s="6">
        <f>COUNTIF(PPI_CHECK!I:I,"EXCEEDED")</f>
        <v/>
      </c>
    </row>
    <row r="18" ht="15" customHeight="1">
      <c r="A18" s="3" t="inlineStr">
        <is>
          <t>PPI Pass Rate</t>
        </is>
      </c>
      <c r="B18" s="7">
        <f>IFERROR(COUNTIF(PPI_CHECK!F:F,"IN PPI")/(COUNTA(INPUT!A:A)-1),0)</f>
        <v/>
      </c>
    </row>
  </sheetData>
  <mergeCells count="4">
    <mergeCell ref="A2:F2"/>
    <mergeCell ref="A4:C4"/>
    <mergeCell ref="A1:F1"/>
    <mergeCell ref="A13:C1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FFD700"/>
    <outlinePr summaryBelow="1" summaryRight="1"/>
    <pageSetUpPr/>
  </sheetPr>
  <dimension ref="A1:D6"/>
  <sheetViews>
    <sheetView topLeftCell="A3" zoomScaleNormal="100" workbookViewId="0">
      <selection activeCell="B13" sqref="B13"/>
    </sheetView>
  </sheetViews>
  <sheetFormatPr baseColWidth="8" defaultColWidth="8.7109375" defaultRowHeight="15"/>
  <cols>
    <col width="28" customWidth="1" min="1" max="1"/>
    <col width="10" customWidth="1" min="2" max="2"/>
    <col width="18" customWidth="1" min="3" max="3"/>
    <col width="60" customWidth="1" min="4" max="4"/>
  </cols>
  <sheetData>
    <row r="1" ht="27.75" customHeight="1">
      <c r="A1" s="28" t="inlineStr">
        <is>
          <t>CHECKER CONFIGURATION</t>
        </is>
      </c>
    </row>
    <row r="3">
      <c r="A3" s="30" t="inlineStr">
        <is>
          <t>Setting</t>
        </is>
      </c>
      <c r="B3" s="30" t="inlineStr">
        <is>
          <t>Value</t>
        </is>
      </c>
      <c r="C3" s="30" t="inlineStr">
        <is>
          <t>Options</t>
        </is>
      </c>
      <c r="D3" s="30" t="inlineStr">
        <is>
          <t>Effect</t>
        </is>
      </c>
    </row>
    <row r="4" ht="15.75" customHeight="1">
      <c r="A4" s="9" t="inlineStr">
        <is>
          <t>Invoice Bank / PPI List</t>
        </is>
      </c>
      <c r="B4" s="10" t="inlineStr">
        <is>
          <t>CVC</t>
        </is>
      </c>
      <c r="C4" s="11" t="inlineStr">
        <is>
          <t>CVC  or  HSBC</t>
        </is>
      </c>
      <c r="D4" s="12" t="inlineStr">
        <is>
          <t>CVC = Spare parts (Citi) | HSBC = Kits — PPI_CHECK reads the matching list automatically</t>
        </is>
      </c>
    </row>
    <row r="6">
      <c r="A6" s="29" t="inlineStr">
        <is>
          <t>⚠  Change B4 ONCE per invoice run. CVC for spare parts invoices. HSBC for kit invoices.</t>
        </is>
      </c>
    </row>
  </sheetData>
  <mergeCells count="2">
    <mergeCell ref="A1:D1"/>
    <mergeCell ref="A6:D6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G302"/>
  <sheetViews>
    <sheetView zoomScaleNormal="100" workbookViewId="0">
      <pane ySplit="2" topLeftCell="A3" activePane="bottomLeft" state="frozen"/>
      <selection pane="bottomLeft" activeCell="A3" sqref="A3"/>
    </sheetView>
  </sheetViews>
  <sheetFormatPr baseColWidth="8" defaultColWidth="8.7109375" defaultRowHeight="15"/>
  <cols>
    <col width="8" customWidth="1" min="1" max="1"/>
    <col width="16" customWidth="1" min="2" max="2"/>
    <col width="30" customWidth="1" min="3" max="3"/>
    <col width="8" customWidth="1" min="4" max="4"/>
    <col width="15" customWidth="1" min="5" max="5"/>
    <col width="8" customWidth="1" min="6" max="7"/>
  </cols>
  <sheetData>
    <row r="1" ht="34.5" customHeight="1">
      <c r="A1" s="30" t="inlineStr">
        <is>
          <t>INPUT — Paste Zone (Values Only, No Formulas)</t>
        </is>
      </c>
    </row>
    <row r="2" ht="30" customHeight="1">
      <c r="A2" s="13" t="inlineStr">
        <is>
          <t>Line N°</t>
        </is>
      </c>
      <c r="B2" s="13" t="inlineStr">
        <is>
          <t>Part No</t>
        </is>
      </c>
      <c r="C2" s="13" t="inlineStr">
        <is>
          <t>Designation</t>
        </is>
      </c>
      <c r="D2" s="13" t="inlineStr">
        <is>
          <t>Class</t>
        </is>
      </c>
      <c r="E2" s="13" t="inlineStr">
        <is>
          <t>HS Code (Invoice)</t>
        </is>
      </c>
      <c r="F2" s="13" t="inlineStr">
        <is>
          <t>Qty</t>
        </is>
      </c>
      <c r="G2" s="13" t="inlineStr">
        <is>
          <t>Bank</t>
        </is>
      </c>
    </row>
    <row r="3" ht="15" customHeight="1">
      <c r="D3" s="6" t="n"/>
      <c r="F3" s="6" t="n"/>
      <c r="G3" s="6" t="n"/>
    </row>
    <row r="4" ht="15" customHeight="1">
      <c r="D4" s="4" t="n"/>
      <c r="F4" s="4" t="n"/>
      <c r="G4" s="4" t="n"/>
    </row>
    <row r="5" ht="15" customHeight="1">
      <c r="D5" s="6" t="n"/>
      <c r="F5" s="6" t="n"/>
      <c r="G5" s="6" t="n"/>
    </row>
    <row r="6" ht="15" customHeight="1">
      <c r="D6" s="4" t="n"/>
      <c r="F6" s="4" t="n"/>
      <c r="G6" s="4" t="n"/>
    </row>
    <row r="7" ht="15" customHeight="1">
      <c r="D7" s="6" t="n"/>
      <c r="F7" s="6" t="n"/>
      <c r="G7" s="6" t="n"/>
    </row>
    <row r="8" ht="15" customHeight="1">
      <c r="D8" s="4" t="n"/>
      <c r="F8" s="4" t="n"/>
      <c r="G8" s="4" t="n"/>
    </row>
    <row r="9" ht="15" customHeight="1">
      <c r="D9" s="6" t="n"/>
      <c r="F9" s="6" t="n"/>
      <c r="G9" s="6" t="n"/>
    </row>
    <row r="10" ht="15" customHeight="1">
      <c r="D10" s="4" t="n"/>
      <c r="F10" s="4" t="n"/>
      <c r="G10" s="4" t="n"/>
    </row>
    <row r="11" ht="15" customHeight="1">
      <c r="D11" s="6" t="n"/>
      <c r="F11" s="6" t="n"/>
      <c r="G11" s="6" t="n"/>
    </row>
    <row r="12" ht="15" customHeight="1">
      <c r="D12" s="4" t="n"/>
      <c r="F12" s="4" t="n"/>
      <c r="G12" s="4" t="n"/>
    </row>
    <row r="13" ht="15" customHeight="1">
      <c r="D13" s="6" t="n"/>
      <c r="F13" s="6" t="n"/>
      <c r="G13" s="6" t="n"/>
    </row>
    <row r="14" ht="15" customHeight="1">
      <c r="D14" s="4" t="n"/>
      <c r="F14" s="4" t="n"/>
      <c r="G14" s="4" t="n"/>
    </row>
    <row r="15" ht="15" customHeight="1">
      <c r="D15" s="6" t="n"/>
      <c r="F15" s="6" t="n"/>
      <c r="G15" s="6" t="n"/>
    </row>
    <row r="16" ht="15" customHeight="1">
      <c r="D16" s="4" t="n"/>
      <c r="F16" s="4" t="n"/>
      <c r="G16" s="4" t="n"/>
    </row>
    <row r="17" ht="15" customHeight="1">
      <c r="D17" s="6" t="n"/>
      <c r="F17" s="6" t="n"/>
      <c r="G17" s="6" t="n"/>
    </row>
    <row r="18" ht="15" customHeight="1">
      <c r="D18" s="4" t="n"/>
      <c r="F18" s="4" t="n"/>
      <c r="G18" s="4" t="n"/>
    </row>
    <row r="19" ht="15" customHeight="1">
      <c r="D19" s="6" t="n"/>
      <c r="F19" s="6" t="n"/>
      <c r="G19" s="6" t="n"/>
    </row>
    <row r="20" ht="15" customHeight="1">
      <c r="D20" s="4" t="n"/>
      <c r="F20" s="4" t="n"/>
      <c r="G20" s="4" t="n"/>
    </row>
    <row r="21" ht="15" customHeight="1">
      <c r="D21" s="6" t="n"/>
      <c r="F21" s="6" t="n"/>
      <c r="G21" s="6" t="n"/>
    </row>
    <row r="22" ht="15" customHeight="1">
      <c r="D22" s="4" t="n"/>
      <c r="F22" s="4" t="n"/>
      <c r="G22" s="4" t="n"/>
    </row>
    <row r="23" ht="15" customHeight="1">
      <c r="D23" s="6" t="n"/>
      <c r="F23" s="6" t="n"/>
      <c r="G23" s="6" t="n"/>
    </row>
    <row r="24" ht="15" customHeight="1">
      <c r="D24" s="4" t="n"/>
      <c r="F24" s="4" t="n"/>
      <c r="G24" s="4" t="n"/>
    </row>
    <row r="25" ht="15" customHeight="1">
      <c r="D25" s="6" t="n"/>
      <c r="F25" s="6" t="n"/>
      <c r="G25" s="6" t="n"/>
    </row>
    <row r="26" ht="15" customHeight="1">
      <c r="D26" s="4" t="n"/>
      <c r="F26" s="4" t="n"/>
      <c r="G26" s="4" t="n"/>
    </row>
    <row r="27" ht="15" customHeight="1">
      <c r="D27" s="6" t="n"/>
      <c r="F27" s="6" t="n"/>
      <c r="G27" s="6" t="n"/>
    </row>
    <row r="28" ht="15" customHeight="1">
      <c r="D28" s="4" t="n"/>
      <c r="F28" s="4" t="n"/>
      <c r="G28" s="4" t="n"/>
    </row>
    <row r="29" ht="15" customHeight="1">
      <c r="D29" s="6" t="n"/>
      <c r="F29" s="6" t="n"/>
      <c r="G29" s="6" t="n"/>
    </row>
    <row r="30" ht="15" customHeight="1">
      <c r="D30" s="4" t="n"/>
      <c r="F30" s="4" t="n"/>
      <c r="G30" s="4" t="n"/>
    </row>
    <row r="31" ht="15" customHeight="1">
      <c r="D31" s="6" t="n"/>
      <c r="F31" s="6" t="n"/>
      <c r="G31" s="6" t="n"/>
    </row>
    <row r="32" ht="15" customHeight="1">
      <c r="D32" s="4" t="n"/>
      <c r="F32" s="4" t="n"/>
      <c r="G32" s="4" t="n"/>
    </row>
    <row r="33" ht="15" customHeight="1">
      <c r="D33" s="6" t="n"/>
      <c r="F33" s="6" t="n"/>
      <c r="G33" s="6" t="n"/>
    </row>
    <row r="34" ht="15" customHeight="1">
      <c r="D34" s="4" t="n"/>
      <c r="F34" s="4" t="n"/>
      <c r="G34" s="4" t="n"/>
    </row>
    <row r="35" ht="15" customHeight="1">
      <c r="D35" s="6" t="n"/>
      <c r="F35" s="6" t="n"/>
      <c r="G35" s="6" t="n"/>
    </row>
    <row r="36" ht="15" customHeight="1">
      <c r="D36" s="4" t="n"/>
      <c r="F36" s="4" t="n"/>
      <c r="G36" s="4" t="n"/>
    </row>
    <row r="37" ht="15" customHeight="1">
      <c r="D37" s="6" t="n"/>
      <c r="F37" s="6" t="n"/>
      <c r="G37" s="6" t="n"/>
    </row>
    <row r="38" ht="15" customHeight="1">
      <c r="D38" s="4" t="n"/>
      <c r="F38" s="4" t="n"/>
      <c r="G38" s="4" t="n"/>
    </row>
    <row r="39" ht="15" customHeight="1">
      <c r="D39" s="6" t="n"/>
      <c r="F39" s="6" t="n"/>
      <c r="G39" s="6" t="n"/>
    </row>
    <row r="40" ht="15" customHeight="1">
      <c r="D40" s="4" t="n"/>
      <c r="F40" s="4" t="n"/>
      <c r="G40" s="4" t="n"/>
    </row>
    <row r="41" ht="15" customHeight="1">
      <c r="D41" s="6" t="n"/>
      <c r="F41" s="6" t="n"/>
      <c r="G41" s="6" t="n"/>
    </row>
    <row r="42" ht="15" customHeight="1">
      <c r="D42" s="4" t="n"/>
      <c r="F42" s="4" t="n"/>
      <c r="G42" s="4" t="n"/>
    </row>
    <row r="43" ht="15" customHeight="1">
      <c r="D43" s="6" t="n"/>
      <c r="F43" s="6" t="n"/>
      <c r="G43" s="6" t="n"/>
    </row>
    <row r="44" ht="15" customHeight="1">
      <c r="D44" s="4" t="n"/>
      <c r="F44" s="4" t="n"/>
      <c r="G44" s="4" t="n"/>
    </row>
    <row r="45" ht="15" customHeight="1">
      <c r="D45" s="6" t="n"/>
      <c r="F45" s="6" t="n"/>
      <c r="G45" s="6" t="n"/>
    </row>
    <row r="46" ht="15" customHeight="1">
      <c r="D46" s="4" t="n"/>
      <c r="F46" s="4" t="n"/>
      <c r="G46" s="4" t="n"/>
    </row>
    <row r="47" ht="15" customHeight="1">
      <c r="D47" s="6" t="n"/>
      <c r="F47" s="6" t="n"/>
      <c r="G47" s="6" t="n"/>
    </row>
    <row r="48" ht="15" customHeight="1">
      <c r="D48" s="4" t="n"/>
      <c r="F48" s="4" t="n"/>
      <c r="G48" s="4" t="n"/>
    </row>
    <row r="49" ht="15" customHeight="1">
      <c r="D49" s="6" t="n"/>
      <c r="F49" s="6" t="n"/>
      <c r="G49" s="6" t="n"/>
    </row>
    <row r="50" ht="15" customHeight="1">
      <c r="D50" s="4" t="n"/>
      <c r="F50" s="4" t="n"/>
      <c r="G50" s="4" t="n"/>
    </row>
    <row r="51" ht="15" customHeight="1">
      <c r="D51" s="6" t="n"/>
      <c r="F51" s="6" t="n"/>
      <c r="G51" s="6" t="n"/>
    </row>
    <row r="52" ht="15" customHeight="1">
      <c r="D52" s="4" t="n"/>
      <c r="F52" s="4" t="n"/>
      <c r="G52" s="4" t="n"/>
    </row>
    <row r="53" ht="15" customHeight="1">
      <c r="D53" s="6" t="n"/>
      <c r="F53" s="6" t="n"/>
      <c r="G53" s="6" t="n"/>
    </row>
    <row r="54" ht="15" customHeight="1">
      <c r="D54" s="4" t="n"/>
      <c r="F54" s="4" t="n"/>
      <c r="G54" s="4" t="n"/>
    </row>
    <row r="55" ht="15" customHeight="1">
      <c r="D55" s="6" t="n"/>
      <c r="F55" s="6" t="n"/>
      <c r="G55" s="6" t="n"/>
    </row>
    <row r="56" ht="15" customHeight="1">
      <c r="D56" s="4" t="n"/>
      <c r="F56" s="4" t="n"/>
      <c r="G56" s="4" t="n"/>
    </row>
    <row r="57" ht="15" customHeight="1">
      <c r="D57" s="6" t="n"/>
      <c r="F57" s="6" t="n"/>
      <c r="G57" s="6" t="n"/>
    </row>
    <row r="58" ht="15" customHeight="1">
      <c r="D58" s="4" t="n"/>
      <c r="F58" s="4" t="n"/>
      <c r="G58" s="4" t="n"/>
    </row>
    <row r="59" ht="15" customHeight="1">
      <c r="D59" s="6" t="n"/>
      <c r="F59" s="6" t="n"/>
      <c r="G59" s="6" t="n"/>
    </row>
    <row r="60" ht="15" customHeight="1">
      <c r="D60" s="4" t="n"/>
      <c r="F60" s="4" t="n"/>
      <c r="G60" s="4" t="n"/>
    </row>
    <row r="61" ht="15" customHeight="1">
      <c r="D61" s="6" t="n"/>
      <c r="F61" s="6" t="n"/>
      <c r="G61" s="6" t="n"/>
    </row>
    <row r="62" ht="15" customHeight="1">
      <c r="D62" s="4" t="n"/>
      <c r="F62" s="4" t="n"/>
      <c r="G62" s="4" t="n"/>
    </row>
    <row r="63" ht="15" customHeight="1">
      <c r="D63" s="6" t="n"/>
      <c r="F63" s="6" t="n"/>
      <c r="G63" s="6" t="n"/>
    </row>
    <row r="64" ht="15" customHeight="1">
      <c r="D64" s="4" t="n"/>
      <c r="F64" s="4" t="n"/>
      <c r="G64" s="4" t="n"/>
    </row>
    <row r="65" ht="15" customHeight="1">
      <c r="D65" s="6" t="n"/>
      <c r="F65" s="6" t="n"/>
      <c r="G65" s="6" t="n"/>
    </row>
    <row r="66" ht="15" customHeight="1">
      <c r="D66" s="4" t="n"/>
      <c r="F66" s="4" t="n"/>
      <c r="G66" s="4" t="n"/>
    </row>
    <row r="67" ht="15" customHeight="1">
      <c r="D67" s="6" t="n"/>
      <c r="F67" s="6" t="n"/>
      <c r="G67" s="6" t="n"/>
    </row>
    <row r="68" ht="15" customHeight="1">
      <c r="D68" s="4" t="n"/>
      <c r="F68" s="4" t="n"/>
      <c r="G68" s="4" t="n"/>
    </row>
    <row r="69" ht="15" customHeight="1">
      <c r="D69" s="6" t="n"/>
      <c r="F69" s="6" t="n"/>
      <c r="G69" s="6" t="n"/>
    </row>
    <row r="70" ht="15" customHeight="1">
      <c r="D70" s="4" t="n"/>
      <c r="F70" s="4" t="n"/>
      <c r="G70" s="4" t="n"/>
    </row>
    <row r="71" ht="15" customHeight="1">
      <c r="D71" s="6" t="n"/>
      <c r="F71" s="6" t="n"/>
      <c r="G71" s="6" t="n"/>
    </row>
    <row r="72" ht="15" customHeight="1">
      <c r="D72" s="4" t="n"/>
      <c r="F72" s="4" t="n"/>
      <c r="G72" s="4" t="n"/>
    </row>
    <row r="73" ht="15" customHeight="1">
      <c r="D73" s="6" t="n"/>
      <c r="F73" s="6" t="n"/>
      <c r="G73" s="6" t="n"/>
    </row>
    <row r="74" ht="15" customHeight="1">
      <c r="D74" s="4" t="n"/>
      <c r="F74" s="4" t="n"/>
      <c r="G74" s="4" t="n"/>
    </row>
    <row r="75" ht="15" customHeight="1">
      <c r="D75" s="6" t="n"/>
      <c r="F75" s="6" t="n"/>
      <c r="G75" s="6" t="n"/>
    </row>
    <row r="76" ht="15" customHeight="1">
      <c r="D76" s="4" t="n"/>
      <c r="F76" s="4" t="n"/>
      <c r="G76" s="4" t="n"/>
    </row>
    <row r="77" ht="15" customHeight="1">
      <c r="D77" s="6" t="n"/>
      <c r="F77" s="6" t="n"/>
      <c r="G77" s="6" t="n"/>
    </row>
    <row r="78" ht="15" customHeight="1">
      <c r="D78" s="4" t="n"/>
      <c r="F78" s="4" t="n"/>
      <c r="G78" s="4" t="n"/>
    </row>
    <row r="79" ht="15" customHeight="1">
      <c r="D79" s="6" t="n"/>
      <c r="F79" s="6" t="n"/>
      <c r="G79" s="6" t="n"/>
    </row>
    <row r="80" ht="15" customHeight="1">
      <c r="D80" s="4" t="n"/>
      <c r="F80" s="4" t="n"/>
      <c r="G80" s="4" t="n"/>
    </row>
    <row r="81" ht="15" customHeight="1">
      <c r="D81" s="6" t="n"/>
      <c r="F81" s="6" t="n"/>
      <c r="G81" s="6" t="n"/>
    </row>
    <row r="82" ht="15" customHeight="1">
      <c r="D82" s="4" t="n"/>
      <c r="F82" s="4" t="n"/>
      <c r="G82" s="4" t="n"/>
    </row>
    <row r="83" ht="15" customHeight="1">
      <c r="D83" s="6" t="n"/>
      <c r="F83" s="6" t="n"/>
      <c r="G83" s="6" t="n"/>
    </row>
    <row r="84" ht="15" customHeight="1">
      <c r="D84" s="4" t="n"/>
      <c r="F84" s="4" t="n"/>
      <c r="G84" s="4" t="n"/>
    </row>
    <row r="85" ht="15" customHeight="1">
      <c r="D85" s="6" t="n"/>
      <c r="F85" s="6" t="n"/>
      <c r="G85" s="6" t="n"/>
    </row>
    <row r="86" ht="15" customHeight="1">
      <c r="D86" s="4" t="n"/>
      <c r="F86" s="4" t="n"/>
      <c r="G86" s="4" t="n"/>
    </row>
    <row r="87" ht="15" customHeight="1">
      <c r="D87" s="6" t="n"/>
      <c r="F87" s="6" t="n"/>
      <c r="G87" s="6" t="n"/>
    </row>
    <row r="88" ht="15" customHeight="1">
      <c r="D88" s="4" t="n"/>
      <c r="F88" s="4" t="n"/>
      <c r="G88" s="4" t="n"/>
    </row>
    <row r="89" ht="15" customHeight="1">
      <c r="D89" s="6" t="n"/>
      <c r="F89" s="6" t="n"/>
      <c r="G89" s="6" t="n"/>
    </row>
    <row r="90" ht="15" customHeight="1">
      <c r="D90" s="4" t="n"/>
      <c r="F90" s="4" t="n"/>
      <c r="G90" s="4" t="n"/>
    </row>
    <row r="91" ht="15" customHeight="1">
      <c r="D91" s="6" t="n"/>
      <c r="F91" s="6" t="n"/>
      <c r="G91" s="6" t="n"/>
    </row>
    <row r="92" ht="15" customHeight="1">
      <c r="D92" s="4" t="n"/>
      <c r="F92" s="4" t="n"/>
      <c r="G92" s="4" t="n"/>
    </row>
    <row r="93" ht="15" customHeight="1">
      <c r="D93" s="6" t="n"/>
      <c r="F93" s="6" t="n"/>
      <c r="G93" s="6" t="n"/>
    </row>
    <row r="94" ht="15" customHeight="1">
      <c r="D94" s="4" t="n"/>
      <c r="F94" s="4" t="n"/>
      <c r="G94" s="4" t="n"/>
    </row>
    <row r="95" ht="15" customHeight="1">
      <c r="D95" s="6" t="n"/>
      <c r="F95" s="6" t="n"/>
      <c r="G95" s="6" t="n"/>
    </row>
    <row r="96" ht="15" customHeight="1">
      <c r="D96" s="4" t="n"/>
      <c r="F96" s="4" t="n"/>
      <c r="G96" s="4" t="n"/>
    </row>
    <row r="97" ht="15" customHeight="1">
      <c r="D97" s="6" t="n"/>
      <c r="F97" s="6" t="n"/>
      <c r="G97" s="6" t="n"/>
    </row>
    <row r="98" ht="15" customHeight="1">
      <c r="D98" s="4" t="n"/>
      <c r="F98" s="4" t="n"/>
      <c r="G98" s="4" t="n"/>
    </row>
    <row r="99" ht="15" customHeight="1">
      <c r="D99" s="6" t="n"/>
      <c r="F99" s="6" t="n"/>
      <c r="G99" s="6" t="n"/>
    </row>
    <row r="100" ht="15" customHeight="1">
      <c r="D100" s="4" t="n"/>
      <c r="F100" s="4" t="n"/>
      <c r="G100" s="4" t="n"/>
    </row>
    <row r="101" ht="15" customHeight="1">
      <c r="D101" s="6" t="n"/>
      <c r="F101" s="6" t="n"/>
      <c r="G101" s="6" t="n"/>
    </row>
    <row r="102" ht="15" customHeight="1">
      <c r="D102" s="4" t="n"/>
      <c r="F102" s="4" t="n"/>
      <c r="G102" s="4" t="n"/>
    </row>
    <row r="103" ht="15" customHeight="1">
      <c r="D103" s="6" t="n"/>
      <c r="F103" s="6" t="n"/>
      <c r="G103" s="6" t="n"/>
    </row>
    <row r="104" ht="15" customHeight="1">
      <c r="D104" s="4" t="n"/>
      <c r="F104" s="4" t="n"/>
      <c r="G104" s="4" t="n"/>
    </row>
    <row r="105" ht="15" customHeight="1">
      <c r="D105" s="6" t="n"/>
      <c r="F105" s="6" t="n"/>
      <c r="G105" s="6" t="n"/>
    </row>
    <row r="106" ht="15" customHeight="1">
      <c r="D106" s="4" t="n"/>
      <c r="F106" s="4" t="n"/>
      <c r="G106" s="4" t="n"/>
    </row>
    <row r="107" ht="15" customHeight="1">
      <c r="D107" s="6" t="n"/>
      <c r="F107" s="6" t="n"/>
      <c r="G107" s="6" t="n"/>
    </row>
    <row r="108" ht="15" customHeight="1">
      <c r="D108" s="4" t="n"/>
      <c r="F108" s="4" t="n"/>
      <c r="G108" s="4" t="n"/>
    </row>
    <row r="109" ht="15" customHeight="1">
      <c r="D109" s="6" t="n"/>
      <c r="F109" s="6" t="n"/>
      <c r="G109" s="6" t="n"/>
    </row>
    <row r="110" ht="15" customHeight="1">
      <c r="D110" s="4" t="n"/>
      <c r="F110" s="4" t="n"/>
      <c r="G110" s="4" t="n"/>
    </row>
    <row r="111" ht="15" customHeight="1">
      <c r="D111" s="6" t="n"/>
      <c r="F111" s="6" t="n"/>
      <c r="G111" s="6" t="n"/>
    </row>
    <row r="112" ht="15" customHeight="1">
      <c r="D112" s="4" t="n"/>
      <c r="F112" s="4" t="n"/>
      <c r="G112" s="4" t="n"/>
    </row>
    <row r="113" ht="15" customHeight="1">
      <c r="D113" s="6" t="n"/>
      <c r="F113" s="6" t="n"/>
      <c r="G113" s="6" t="n"/>
    </row>
    <row r="114" ht="15" customHeight="1">
      <c r="D114" s="4" t="n"/>
      <c r="F114" s="4" t="n"/>
      <c r="G114" s="4" t="n"/>
    </row>
    <row r="115" ht="15" customHeight="1">
      <c r="D115" s="6" t="n"/>
      <c r="F115" s="6" t="n"/>
      <c r="G115" s="6" t="n"/>
    </row>
    <row r="116" ht="15" customHeight="1">
      <c r="D116" s="4" t="n"/>
      <c r="F116" s="4" t="n"/>
      <c r="G116" s="4" t="n"/>
    </row>
    <row r="117" ht="15" customHeight="1">
      <c r="D117" s="6" t="n"/>
      <c r="F117" s="6" t="n"/>
      <c r="G117" s="6" t="n"/>
    </row>
    <row r="118" ht="15" customHeight="1">
      <c r="D118" s="4" t="n"/>
      <c r="F118" s="4" t="n"/>
      <c r="G118" s="4" t="n"/>
    </row>
    <row r="119" ht="15" customHeight="1">
      <c r="D119" s="6" t="n"/>
      <c r="F119" s="6" t="n"/>
      <c r="G119" s="6" t="n"/>
    </row>
    <row r="120" ht="15" customHeight="1">
      <c r="D120" s="4" t="n"/>
      <c r="F120" s="4" t="n"/>
      <c r="G120" s="4" t="n"/>
    </row>
    <row r="121" ht="15" customHeight="1">
      <c r="D121" s="6" t="n"/>
      <c r="F121" s="6" t="n"/>
      <c r="G121" s="6" t="n"/>
    </row>
    <row r="122" ht="15" customHeight="1">
      <c r="D122" s="4" t="n"/>
      <c r="F122" s="4" t="n"/>
      <c r="G122" s="4" t="n"/>
    </row>
    <row r="123" ht="15" customHeight="1">
      <c r="D123" s="6" t="n"/>
      <c r="F123" s="6" t="n"/>
      <c r="G123" s="6" t="n"/>
    </row>
    <row r="124" ht="15" customHeight="1">
      <c r="D124" s="4" t="n"/>
      <c r="F124" s="4" t="n"/>
      <c r="G124" s="4" t="n"/>
    </row>
    <row r="125" ht="15" customHeight="1">
      <c r="D125" s="6" t="n"/>
      <c r="F125" s="6" t="n"/>
      <c r="G125" s="6" t="n"/>
    </row>
    <row r="126" ht="15" customHeight="1">
      <c r="D126" s="4" t="n"/>
      <c r="F126" s="4" t="n"/>
      <c r="G126" s="4" t="n"/>
    </row>
    <row r="127" ht="15" customHeight="1">
      <c r="D127" s="6" t="n"/>
      <c r="F127" s="6" t="n"/>
      <c r="G127" s="6" t="n"/>
    </row>
    <row r="128" ht="15" customHeight="1">
      <c r="D128" s="4" t="n"/>
      <c r="F128" s="4" t="n"/>
      <c r="G128" s="4" t="n"/>
    </row>
    <row r="129" ht="15" customHeight="1">
      <c r="D129" s="6" t="n"/>
      <c r="F129" s="6" t="n"/>
      <c r="G129" s="6" t="n"/>
    </row>
    <row r="130" ht="15" customHeight="1">
      <c r="D130" s="4" t="n"/>
      <c r="F130" s="4" t="n"/>
      <c r="G130" s="4" t="n"/>
    </row>
    <row r="131" ht="15" customHeight="1">
      <c r="D131" s="6" t="n"/>
      <c r="F131" s="6" t="n"/>
      <c r="G131" s="6" t="n"/>
    </row>
    <row r="132" ht="15" customHeight="1">
      <c r="D132" s="4" t="n"/>
      <c r="F132" s="4" t="n"/>
      <c r="G132" s="4" t="n"/>
    </row>
    <row r="133" ht="15" customHeight="1">
      <c r="D133" s="6" t="n"/>
      <c r="F133" s="6" t="n"/>
      <c r="G133" s="6" t="n"/>
    </row>
    <row r="134" ht="15" customHeight="1">
      <c r="D134" s="4" t="n"/>
      <c r="F134" s="4" t="n"/>
      <c r="G134" s="4" t="n"/>
    </row>
    <row r="135" ht="15" customHeight="1">
      <c r="D135" s="6" t="n"/>
      <c r="F135" s="6" t="n"/>
      <c r="G135" s="6" t="n"/>
    </row>
    <row r="136" ht="15" customHeight="1">
      <c r="D136" s="4" t="n"/>
      <c r="F136" s="4" t="n"/>
      <c r="G136" s="4" t="n"/>
    </row>
    <row r="137" ht="15" customHeight="1">
      <c r="D137" s="6" t="n"/>
      <c r="F137" s="6" t="n"/>
      <c r="G137" s="6" t="n"/>
    </row>
    <row r="138" ht="15" customHeight="1">
      <c r="D138" s="4" t="n"/>
      <c r="F138" s="4" t="n"/>
      <c r="G138" s="4" t="n"/>
    </row>
    <row r="139" ht="15" customHeight="1">
      <c r="D139" s="6" t="n"/>
      <c r="F139" s="6" t="n"/>
      <c r="G139" s="6" t="n"/>
    </row>
    <row r="140" ht="15" customHeight="1">
      <c r="D140" s="4" t="n"/>
      <c r="F140" s="4" t="n"/>
      <c r="G140" s="4" t="n"/>
    </row>
    <row r="141" ht="15" customHeight="1">
      <c r="D141" s="6" t="n"/>
      <c r="F141" s="6" t="n"/>
      <c r="G141" s="6" t="n"/>
    </row>
    <row r="142" ht="15" customHeight="1">
      <c r="D142" s="4" t="n"/>
      <c r="F142" s="4" t="n"/>
      <c r="G142" s="4" t="n"/>
    </row>
    <row r="143" ht="15" customHeight="1">
      <c r="D143" s="6" t="n"/>
      <c r="F143" s="6" t="n"/>
      <c r="G143" s="6" t="n"/>
    </row>
    <row r="144" ht="15" customHeight="1">
      <c r="D144" s="4" t="n"/>
      <c r="F144" s="4" t="n"/>
      <c r="G144" s="4" t="n"/>
    </row>
    <row r="145" ht="15" customHeight="1">
      <c r="D145" s="6" t="n"/>
      <c r="F145" s="6" t="n"/>
      <c r="G145" s="6" t="n"/>
    </row>
    <row r="146" ht="15" customHeight="1">
      <c r="D146" s="4" t="n"/>
      <c r="F146" s="4" t="n"/>
      <c r="G146" s="4" t="n"/>
    </row>
    <row r="147" ht="15" customHeight="1">
      <c r="D147" s="6" t="n"/>
      <c r="F147" s="6" t="n"/>
      <c r="G147" s="6" t="n"/>
    </row>
    <row r="148" ht="15" customHeight="1">
      <c r="D148" s="4" t="n"/>
      <c r="F148" s="4" t="n"/>
      <c r="G148" s="4" t="n"/>
    </row>
    <row r="149" ht="15" customHeight="1">
      <c r="D149" s="6" t="n"/>
      <c r="F149" s="6" t="n"/>
      <c r="G149" s="6" t="n"/>
    </row>
    <row r="150" ht="15" customHeight="1">
      <c r="D150" s="4" t="n"/>
      <c r="F150" s="4" t="n"/>
      <c r="G150" s="4" t="n"/>
    </row>
    <row r="151" ht="15" customHeight="1">
      <c r="D151" s="6" t="n"/>
      <c r="F151" s="6" t="n"/>
      <c r="G151" s="6" t="n"/>
    </row>
    <row r="152" ht="15" customHeight="1">
      <c r="D152" s="4" t="n"/>
      <c r="F152" s="4" t="n"/>
      <c r="G152" s="4" t="n"/>
    </row>
    <row r="153" ht="15" customHeight="1">
      <c r="D153" s="6" t="n"/>
      <c r="F153" s="6" t="n"/>
      <c r="G153" s="6" t="n"/>
    </row>
    <row r="154" ht="15" customHeight="1">
      <c r="D154" s="4" t="n"/>
      <c r="F154" s="4" t="n"/>
      <c r="G154" s="4" t="n"/>
    </row>
    <row r="155" ht="15" customHeight="1">
      <c r="D155" s="6" t="n"/>
      <c r="F155" s="6" t="n"/>
      <c r="G155" s="6" t="n"/>
    </row>
    <row r="156" ht="15" customHeight="1">
      <c r="D156" s="4" t="n"/>
      <c r="F156" s="4" t="n"/>
      <c r="G156" s="4" t="n"/>
    </row>
    <row r="157" ht="15" customHeight="1">
      <c r="D157" s="6" t="n"/>
      <c r="F157" s="6" t="n"/>
      <c r="G157" s="6" t="n"/>
    </row>
    <row r="158" ht="15" customHeight="1">
      <c r="D158" s="4" t="n"/>
      <c r="F158" s="4" t="n"/>
      <c r="G158" s="4" t="n"/>
    </row>
    <row r="159" ht="15" customHeight="1">
      <c r="D159" s="6" t="n"/>
      <c r="F159" s="6" t="n"/>
      <c r="G159" s="6" t="n"/>
    </row>
    <row r="160" ht="15" customHeight="1">
      <c r="D160" s="4" t="n"/>
      <c r="F160" s="4" t="n"/>
      <c r="G160" s="4" t="n"/>
    </row>
    <row r="161" ht="15" customHeight="1">
      <c r="D161" s="6" t="n"/>
      <c r="F161" s="6" t="n"/>
      <c r="G161" s="6" t="n"/>
    </row>
    <row r="162" ht="15" customHeight="1">
      <c r="D162" s="4" t="n"/>
      <c r="F162" s="4" t="n"/>
      <c r="G162" s="4" t="n"/>
    </row>
    <row r="163" ht="15" customHeight="1">
      <c r="D163" s="6" t="n"/>
      <c r="F163" s="6" t="n"/>
      <c r="G163" s="6" t="n"/>
    </row>
    <row r="164" ht="15" customHeight="1">
      <c r="D164" s="4" t="n"/>
      <c r="F164" s="4" t="n"/>
      <c r="G164" s="4" t="n"/>
    </row>
    <row r="165" ht="15" customHeight="1">
      <c r="D165" s="6" t="n"/>
      <c r="F165" s="6" t="n"/>
      <c r="G165" s="6" t="n"/>
    </row>
    <row r="166" ht="15" customHeight="1">
      <c r="D166" s="4" t="n"/>
      <c r="F166" s="4" t="n"/>
      <c r="G166" s="4" t="n"/>
    </row>
    <row r="167" ht="15" customHeight="1">
      <c r="D167" s="6" t="n"/>
      <c r="F167" s="6" t="n"/>
      <c r="G167" s="6" t="n"/>
    </row>
    <row r="168" ht="15" customHeight="1">
      <c r="D168" s="4" t="n"/>
      <c r="F168" s="4" t="n"/>
      <c r="G168" s="4" t="n"/>
    </row>
    <row r="169" ht="15" customHeight="1">
      <c r="D169" s="6" t="n"/>
      <c r="F169" s="6" t="n"/>
      <c r="G169" s="6" t="n"/>
    </row>
    <row r="170" ht="15" customHeight="1">
      <c r="D170" s="4" t="n"/>
      <c r="F170" s="4" t="n"/>
      <c r="G170" s="4" t="n"/>
    </row>
    <row r="171" ht="15" customHeight="1">
      <c r="D171" s="6" t="n"/>
      <c r="F171" s="6" t="n"/>
      <c r="G171" s="6" t="n"/>
    </row>
    <row r="172" ht="15" customHeight="1">
      <c r="D172" s="4" t="n"/>
      <c r="F172" s="4" t="n"/>
      <c r="G172" s="4" t="n"/>
    </row>
    <row r="173" ht="15" customHeight="1">
      <c r="D173" s="6" t="n"/>
      <c r="F173" s="6" t="n"/>
      <c r="G173" s="6" t="n"/>
    </row>
    <row r="174" ht="15" customHeight="1">
      <c r="D174" s="4" t="n"/>
      <c r="F174" s="4" t="n"/>
      <c r="G174" s="4" t="n"/>
    </row>
    <row r="175" ht="15" customHeight="1">
      <c r="D175" s="6" t="n"/>
      <c r="F175" s="6" t="n"/>
      <c r="G175" s="6" t="n"/>
    </row>
    <row r="176" ht="15" customHeight="1">
      <c r="D176" s="4" t="n"/>
      <c r="F176" s="4" t="n"/>
      <c r="G176" s="4" t="n"/>
    </row>
    <row r="177" ht="15" customHeight="1">
      <c r="D177" s="6" t="n"/>
      <c r="F177" s="6" t="n"/>
      <c r="G177" s="6" t="n"/>
    </row>
    <row r="178" ht="15" customHeight="1">
      <c r="D178" s="4" t="n"/>
      <c r="F178" s="4" t="n"/>
      <c r="G178" s="4" t="n"/>
    </row>
    <row r="179" ht="15" customHeight="1">
      <c r="D179" s="6" t="n"/>
      <c r="F179" s="6" t="n"/>
      <c r="G179" s="6" t="n"/>
    </row>
    <row r="180" ht="15" customHeight="1">
      <c r="D180" s="4" t="n"/>
      <c r="F180" s="4" t="n"/>
      <c r="G180" s="4" t="n"/>
    </row>
    <row r="181" ht="15" customHeight="1">
      <c r="D181" s="6" t="n"/>
      <c r="F181" s="6" t="n"/>
      <c r="G181" s="6" t="n"/>
    </row>
    <row r="182" ht="15" customHeight="1">
      <c r="D182" s="4" t="n"/>
      <c r="F182" s="4" t="n"/>
      <c r="G182" s="4" t="n"/>
    </row>
    <row r="183" ht="15" customHeight="1">
      <c r="D183" s="6" t="n"/>
      <c r="F183" s="6" t="n"/>
      <c r="G183" s="6" t="n"/>
    </row>
    <row r="184" ht="15" customHeight="1">
      <c r="D184" s="4" t="n"/>
      <c r="F184" s="4" t="n"/>
      <c r="G184" s="4" t="n"/>
    </row>
    <row r="185" ht="15" customHeight="1">
      <c r="D185" s="6" t="n"/>
      <c r="F185" s="6" t="n"/>
      <c r="G185" s="6" t="n"/>
    </row>
    <row r="186" ht="15" customHeight="1">
      <c r="D186" s="4" t="n"/>
      <c r="F186" s="4" t="n"/>
      <c r="G186" s="4" t="n"/>
    </row>
    <row r="187" ht="15" customHeight="1">
      <c r="D187" s="6" t="n"/>
      <c r="F187" s="6" t="n"/>
      <c r="G187" s="6" t="n"/>
    </row>
    <row r="188" ht="15" customHeight="1">
      <c r="D188" s="4" t="n"/>
      <c r="F188" s="4" t="n"/>
      <c r="G188" s="4" t="n"/>
    </row>
    <row r="189" ht="15" customHeight="1">
      <c r="D189" s="6" t="n"/>
      <c r="F189" s="6" t="n"/>
      <c r="G189" s="6" t="n"/>
    </row>
    <row r="190" ht="15" customHeight="1">
      <c r="D190" s="4" t="n"/>
      <c r="F190" s="4" t="n"/>
      <c r="G190" s="4" t="n"/>
    </row>
    <row r="191" ht="15" customHeight="1">
      <c r="D191" s="6" t="n"/>
      <c r="F191" s="6" t="n"/>
      <c r="G191" s="6" t="n"/>
    </row>
    <row r="192" ht="15" customHeight="1">
      <c r="D192" s="4" t="n"/>
      <c r="F192" s="4" t="n"/>
      <c r="G192" s="4" t="n"/>
    </row>
    <row r="193" ht="15" customHeight="1">
      <c r="D193" s="6" t="n"/>
      <c r="F193" s="6" t="n"/>
      <c r="G193" s="6" t="n"/>
    </row>
    <row r="194" ht="15" customHeight="1">
      <c r="D194" s="4" t="n"/>
      <c r="F194" s="4" t="n"/>
      <c r="G194" s="4" t="n"/>
    </row>
    <row r="195" ht="15" customHeight="1">
      <c r="D195" s="6" t="n"/>
      <c r="F195" s="6" t="n"/>
      <c r="G195" s="6" t="n"/>
    </row>
    <row r="196" ht="15" customHeight="1">
      <c r="D196" s="4" t="n"/>
      <c r="F196" s="4" t="n"/>
      <c r="G196" s="4" t="n"/>
    </row>
    <row r="197" ht="15" customHeight="1">
      <c r="D197" s="6" t="n"/>
      <c r="F197" s="6" t="n"/>
      <c r="G197" s="6" t="n"/>
    </row>
    <row r="198" ht="15" customHeight="1">
      <c r="D198" s="4" t="n"/>
      <c r="F198" s="4" t="n"/>
      <c r="G198" s="4" t="n"/>
    </row>
    <row r="199" ht="15" customHeight="1">
      <c r="D199" s="6" t="n"/>
      <c r="F199" s="6" t="n"/>
      <c r="G199" s="6" t="n"/>
    </row>
    <row r="200" ht="15" customHeight="1">
      <c r="D200" s="4" t="n"/>
      <c r="F200" s="4" t="n"/>
      <c r="G200" s="4" t="n"/>
    </row>
    <row r="201" ht="15" customHeight="1">
      <c r="D201" s="6" t="n"/>
      <c r="F201" s="6" t="n"/>
      <c r="G201" s="6" t="n"/>
    </row>
    <row r="202" ht="15" customHeight="1">
      <c r="D202" s="4" t="n"/>
      <c r="F202" s="4" t="n"/>
      <c r="G202" s="4" t="n"/>
    </row>
    <row r="203" ht="15" customHeight="1">
      <c r="D203" s="6" t="n"/>
      <c r="F203" s="6" t="n"/>
      <c r="G203" s="6" t="n"/>
    </row>
    <row r="204" ht="15" customHeight="1">
      <c r="D204" s="4" t="n"/>
      <c r="F204" s="4" t="n"/>
      <c r="G204" s="4" t="n"/>
    </row>
    <row r="205" ht="15" customHeight="1">
      <c r="D205" s="6" t="n"/>
      <c r="F205" s="6" t="n"/>
      <c r="G205" s="6" t="n"/>
    </row>
    <row r="206" ht="15" customHeight="1">
      <c r="D206" s="4" t="n"/>
      <c r="F206" s="4" t="n"/>
      <c r="G206" s="4" t="n"/>
    </row>
    <row r="207" ht="15" customHeight="1">
      <c r="D207" s="6" t="n"/>
      <c r="F207" s="6" t="n"/>
      <c r="G207" s="6" t="n"/>
    </row>
    <row r="208" ht="15" customHeight="1">
      <c r="D208" s="4" t="n"/>
      <c r="F208" s="4" t="n"/>
      <c r="G208" s="4" t="n"/>
    </row>
    <row r="209" ht="15" customHeight="1">
      <c r="D209" s="6" t="n"/>
      <c r="F209" s="6" t="n"/>
      <c r="G209" s="6" t="n"/>
    </row>
    <row r="210" ht="15" customHeight="1">
      <c r="D210" s="4" t="n"/>
      <c r="F210" s="4" t="n"/>
      <c r="G210" s="4" t="n"/>
    </row>
    <row r="211" ht="15" customHeight="1">
      <c r="D211" s="6" t="n"/>
      <c r="F211" s="6" t="n"/>
      <c r="G211" s="6" t="n"/>
    </row>
    <row r="212" ht="15" customHeight="1">
      <c r="D212" s="4" t="n"/>
      <c r="F212" s="4" t="n"/>
      <c r="G212" s="4" t="n"/>
    </row>
    <row r="213" ht="15" customHeight="1">
      <c r="D213" s="6" t="n"/>
      <c r="F213" s="6" t="n"/>
      <c r="G213" s="6" t="n"/>
    </row>
    <row r="214" ht="15" customHeight="1">
      <c r="D214" s="4" t="n"/>
      <c r="F214" s="4" t="n"/>
      <c r="G214" s="4" t="n"/>
    </row>
    <row r="215" ht="15" customHeight="1">
      <c r="D215" s="6" t="n"/>
      <c r="F215" s="6" t="n"/>
      <c r="G215" s="6" t="n"/>
    </row>
    <row r="216" ht="15" customHeight="1">
      <c r="D216" s="4" t="n"/>
      <c r="F216" s="4" t="n"/>
      <c r="G216" s="4" t="n"/>
    </row>
    <row r="217" ht="15" customHeight="1">
      <c r="D217" s="6" t="n"/>
      <c r="F217" s="6" t="n"/>
      <c r="G217" s="6" t="n"/>
    </row>
    <row r="218" ht="15" customHeight="1">
      <c r="D218" s="4" t="n"/>
      <c r="F218" s="4" t="n"/>
      <c r="G218" s="4" t="n"/>
    </row>
    <row r="219" ht="15" customHeight="1">
      <c r="D219" s="6" t="n"/>
      <c r="F219" s="6" t="n"/>
      <c r="G219" s="6" t="n"/>
    </row>
    <row r="220" ht="15" customHeight="1">
      <c r="D220" s="4" t="n"/>
      <c r="F220" s="4" t="n"/>
      <c r="G220" s="4" t="n"/>
    </row>
    <row r="221" ht="15" customHeight="1">
      <c r="D221" s="6" t="n"/>
      <c r="F221" s="6" t="n"/>
      <c r="G221" s="6" t="n"/>
    </row>
    <row r="222" ht="15" customHeight="1">
      <c r="D222" s="4" t="n"/>
      <c r="F222" s="4" t="n"/>
      <c r="G222" s="4" t="n"/>
    </row>
    <row r="223" ht="15" customHeight="1">
      <c r="D223" s="6" t="n"/>
      <c r="F223" s="6" t="n"/>
      <c r="G223" s="6" t="n"/>
    </row>
    <row r="224" ht="15" customHeight="1">
      <c r="D224" s="4" t="n"/>
      <c r="F224" s="4" t="n"/>
      <c r="G224" s="4" t="n"/>
    </row>
    <row r="225" ht="15" customHeight="1">
      <c r="D225" s="6" t="n"/>
      <c r="F225" s="6" t="n"/>
      <c r="G225" s="6" t="n"/>
    </row>
    <row r="226" ht="15" customHeight="1">
      <c r="D226" s="4" t="n"/>
      <c r="F226" s="4" t="n"/>
      <c r="G226" s="4" t="n"/>
    </row>
    <row r="227" ht="15" customHeight="1">
      <c r="D227" s="6" t="n"/>
      <c r="F227" s="6" t="n"/>
      <c r="G227" s="6" t="n"/>
    </row>
    <row r="228" ht="15" customHeight="1">
      <c r="D228" s="4" t="n"/>
      <c r="F228" s="4" t="n"/>
      <c r="G228" s="4" t="n"/>
    </row>
    <row r="229" ht="15" customHeight="1">
      <c r="D229" s="6" t="n"/>
      <c r="F229" s="6" t="n"/>
      <c r="G229" s="6" t="n"/>
    </row>
    <row r="230" ht="15" customHeight="1">
      <c r="D230" s="4" t="n"/>
      <c r="F230" s="4" t="n"/>
      <c r="G230" s="4" t="n"/>
    </row>
    <row r="231" ht="15" customHeight="1">
      <c r="D231" s="6" t="n"/>
      <c r="F231" s="6" t="n"/>
      <c r="G231" s="6" t="n"/>
    </row>
    <row r="232" ht="15" customHeight="1">
      <c r="D232" s="4" t="n"/>
      <c r="F232" s="4" t="n"/>
      <c r="G232" s="4" t="n"/>
    </row>
    <row r="233" ht="15" customHeight="1">
      <c r="D233" s="6" t="n"/>
      <c r="F233" s="6" t="n"/>
      <c r="G233" s="6" t="n"/>
    </row>
    <row r="234" ht="15" customHeight="1">
      <c r="D234" s="4" t="n"/>
      <c r="F234" s="4" t="n"/>
      <c r="G234" s="4" t="n"/>
    </row>
    <row r="235" ht="15" customHeight="1">
      <c r="D235" s="6" t="n"/>
      <c r="F235" s="6" t="n"/>
      <c r="G235" s="6" t="n"/>
    </row>
    <row r="236" ht="15" customHeight="1">
      <c r="D236" s="4" t="n"/>
      <c r="F236" s="4" t="n"/>
      <c r="G236" s="4" t="n"/>
    </row>
    <row r="237" ht="15" customHeight="1">
      <c r="D237" s="6" t="n"/>
      <c r="F237" s="6" t="n"/>
      <c r="G237" s="6" t="n"/>
    </row>
    <row r="238" ht="15" customHeight="1">
      <c r="D238" s="4" t="n"/>
      <c r="F238" s="4" t="n"/>
      <c r="G238" s="4" t="n"/>
    </row>
    <row r="239" ht="15" customHeight="1">
      <c r="D239" s="6" t="n"/>
      <c r="F239" s="6" t="n"/>
      <c r="G239" s="6" t="n"/>
    </row>
    <row r="240" ht="15" customHeight="1">
      <c r="D240" s="4" t="n"/>
      <c r="F240" s="4" t="n"/>
      <c r="G240" s="4" t="n"/>
    </row>
    <row r="241" ht="15" customHeight="1">
      <c r="D241" s="6" t="n"/>
      <c r="F241" s="6" t="n"/>
      <c r="G241" s="6" t="n"/>
    </row>
    <row r="242" ht="15" customHeight="1">
      <c r="D242" s="4" t="n"/>
      <c r="F242" s="4" t="n"/>
      <c r="G242" s="4" t="n"/>
    </row>
    <row r="243" ht="15" customHeight="1">
      <c r="D243" s="6" t="n"/>
      <c r="F243" s="6" t="n"/>
      <c r="G243" s="6" t="n"/>
    </row>
    <row r="244" ht="15" customHeight="1">
      <c r="D244" s="4" t="n"/>
      <c r="F244" s="4" t="n"/>
      <c r="G244" s="4" t="n"/>
    </row>
    <row r="245" ht="15" customHeight="1">
      <c r="D245" s="6" t="n"/>
      <c r="F245" s="6" t="n"/>
      <c r="G245" s="6" t="n"/>
    </row>
    <row r="246" ht="15" customHeight="1">
      <c r="D246" s="4" t="n"/>
      <c r="F246" s="4" t="n"/>
      <c r="G246" s="4" t="n"/>
    </row>
    <row r="247" ht="15" customHeight="1">
      <c r="D247" s="6" t="n"/>
      <c r="F247" s="6" t="n"/>
      <c r="G247" s="6" t="n"/>
    </row>
    <row r="248" ht="15" customHeight="1">
      <c r="D248" s="4" t="n"/>
      <c r="F248" s="4" t="n"/>
      <c r="G248" s="4" t="n"/>
    </row>
    <row r="249" ht="15" customHeight="1">
      <c r="D249" s="6" t="n"/>
      <c r="F249" s="6" t="n"/>
      <c r="G249" s="6" t="n"/>
    </row>
    <row r="250" ht="15" customHeight="1">
      <c r="D250" s="4" t="n"/>
      <c r="F250" s="4" t="n"/>
      <c r="G250" s="4" t="n"/>
    </row>
    <row r="251" ht="15" customHeight="1">
      <c r="D251" s="6" t="n"/>
      <c r="F251" s="6" t="n"/>
      <c r="G251" s="6" t="n"/>
    </row>
    <row r="252" ht="15" customHeight="1">
      <c r="D252" s="4" t="n"/>
      <c r="F252" s="4" t="n"/>
      <c r="G252" s="4" t="n"/>
    </row>
    <row r="253" ht="15" customHeight="1">
      <c r="D253" s="6" t="n"/>
      <c r="F253" s="6" t="n"/>
      <c r="G253" s="6" t="n"/>
    </row>
    <row r="254" ht="15" customHeight="1">
      <c r="D254" s="4" t="n"/>
      <c r="F254" s="4" t="n"/>
      <c r="G254" s="4" t="n"/>
    </row>
    <row r="255" ht="15" customHeight="1">
      <c r="D255" s="6" t="n"/>
      <c r="F255" s="6" t="n"/>
      <c r="G255" s="6" t="n"/>
    </row>
    <row r="256" ht="15" customHeight="1">
      <c r="D256" s="4" t="n"/>
      <c r="F256" s="4" t="n"/>
      <c r="G256" s="4" t="n"/>
    </row>
    <row r="257" ht="15" customHeight="1">
      <c r="D257" s="6" t="n"/>
      <c r="F257" s="6" t="n"/>
      <c r="G257" s="6" t="n"/>
    </row>
    <row r="258" ht="15" customHeight="1">
      <c r="D258" s="4" t="n"/>
      <c r="F258" s="4" t="n"/>
      <c r="G258" s="4" t="n"/>
    </row>
    <row r="259" ht="15" customHeight="1">
      <c r="D259" s="6" t="n"/>
      <c r="F259" s="6" t="n"/>
      <c r="G259" s="6" t="n"/>
    </row>
    <row r="260" ht="15" customHeight="1">
      <c r="D260" s="4" t="n"/>
      <c r="F260" s="4" t="n"/>
      <c r="G260" s="4" t="n"/>
    </row>
    <row r="261" ht="15" customHeight="1">
      <c r="A261" s="6" t="n"/>
      <c r="B261" s="14" t="n"/>
      <c r="C261" s="14" t="n"/>
      <c r="D261" s="6" t="n"/>
      <c r="E261" s="15" t="n"/>
      <c r="F261" s="6" t="n"/>
      <c r="G261" s="6" t="n"/>
    </row>
    <row r="262" ht="15" customHeight="1">
      <c r="A262" s="4" t="n"/>
      <c r="B262" s="16" t="n"/>
      <c r="C262" s="16" t="n"/>
      <c r="D262" s="4" t="n"/>
      <c r="E262" s="17" t="n"/>
      <c r="F262" s="4" t="n"/>
      <c r="G262" s="4" t="n"/>
    </row>
    <row r="263" ht="15" customHeight="1">
      <c r="A263" s="6" t="n"/>
      <c r="B263" s="14" t="n"/>
      <c r="C263" s="14" t="n"/>
      <c r="D263" s="6" t="n"/>
      <c r="E263" s="15" t="n"/>
      <c r="F263" s="6" t="n"/>
      <c r="G263" s="6" t="n"/>
    </row>
    <row r="264" ht="15" customHeight="1">
      <c r="A264" s="4" t="n"/>
      <c r="B264" s="16" t="n"/>
      <c r="C264" s="16" t="n"/>
      <c r="D264" s="4" t="n"/>
      <c r="E264" s="17" t="n"/>
      <c r="F264" s="4" t="n"/>
      <c r="G264" s="4" t="n"/>
    </row>
    <row r="265" ht="15" customHeight="1">
      <c r="A265" s="6" t="n"/>
      <c r="B265" s="14" t="n"/>
      <c r="C265" s="14" t="n"/>
      <c r="D265" s="6" t="n"/>
      <c r="E265" s="15" t="n"/>
      <c r="F265" s="6" t="n"/>
      <c r="G265" s="6" t="n"/>
    </row>
    <row r="266" ht="15" customHeight="1">
      <c r="A266" s="4" t="n"/>
      <c r="B266" s="16" t="n"/>
      <c r="C266" s="16" t="n"/>
      <c r="D266" s="4" t="n"/>
      <c r="E266" s="17" t="n"/>
      <c r="F266" s="4" t="n"/>
      <c r="G266" s="4" t="n"/>
    </row>
    <row r="267" ht="15" customHeight="1">
      <c r="A267" s="6" t="n"/>
      <c r="B267" s="14" t="n"/>
      <c r="C267" s="14" t="n"/>
      <c r="D267" s="6" t="n"/>
      <c r="E267" s="15" t="n"/>
      <c r="F267" s="6" t="n"/>
      <c r="G267" s="6" t="n"/>
    </row>
    <row r="268" ht="15" customHeight="1">
      <c r="A268" s="4" t="n"/>
      <c r="B268" s="16" t="n"/>
      <c r="C268" s="16" t="n"/>
      <c r="D268" s="4" t="n"/>
      <c r="E268" s="17" t="n"/>
      <c r="F268" s="4" t="n"/>
      <c r="G268" s="4" t="n"/>
    </row>
    <row r="269" ht="15" customHeight="1">
      <c r="A269" s="6" t="n"/>
      <c r="B269" s="14" t="n"/>
      <c r="C269" s="14" t="n"/>
      <c r="D269" s="6" t="n"/>
      <c r="E269" s="15" t="n"/>
      <c r="F269" s="6" t="n"/>
      <c r="G269" s="6" t="n"/>
    </row>
    <row r="270" ht="15" customHeight="1">
      <c r="A270" s="4" t="n"/>
      <c r="B270" s="16" t="n"/>
      <c r="C270" s="16" t="n"/>
      <c r="D270" s="4" t="n"/>
      <c r="E270" s="17" t="n"/>
      <c r="F270" s="4" t="n"/>
      <c r="G270" s="4" t="n"/>
    </row>
    <row r="271" ht="15" customHeight="1">
      <c r="A271" s="6" t="n"/>
      <c r="B271" s="14" t="n"/>
      <c r="C271" s="14" t="n"/>
      <c r="D271" s="6" t="n"/>
      <c r="E271" s="15" t="n"/>
      <c r="F271" s="6" t="n"/>
      <c r="G271" s="6" t="n"/>
    </row>
    <row r="272" ht="15" customHeight="1">
      <c r="A272" s="4" t="n"/>
      <c r="B272" s="16" t="n"/>
      <c r="C272" s="16" t="n"/>
      <c r="D272" s="4" t="n"/>
      <c r="E272" s="17" t="n"/>
      <c r="F272" s="4" t="n"/>
      <c r="G272" s="4" t="n"/>
    </row>
    <row r="273" ht="15" customHeight="1">
      <c r="A273" s="6" t="n"/>
      <c r="B273" s="14" t="n"/>
      <c r="C273" s="14" t="n"/>
      <c r="D273" s="6" t="n"/>
      <c r="E273" s="15" t="n"/>
      <c r="F273" s="6" t="n"/>
      <c r="G273" s="6" t="n"/>
    </row>
    <row r="274" ht="15" customHeight="1">
      <c r="A274" s="4" t="n"/>
      <c r="B274" s="16" t="n"/>
      <c r="C274" s="16" t="n"/>
      <c r="D274" s="4" t="n"/>
      <c r="E274" s="17" t="n"/>
      <c r="F274" s="4" t="n"/>
      <c r="G274" s="4" t="n"/>
    </row>
    <row r="275" ht="15" customHeight="1">
      <c r="A275" s="6" t="n"/>
      <c r="B275" s="14" t="n"/>
      <c r="C275" s="14" t="n"/>
      <c r="D275" s="6" t="n"/>
      <c r="E275" s="15" t="n"/>
      <c r="F275" s="6" t="n"/>
      <c r="G275" s="6" t="n"/>
    </row>
    <row r="276" ht="15" customHeight="1">
      <c r="A276" s="4" t="n"/>
      <c r="B276" s="16" t="n"/>
      <c r="C276" s="16" t="n"/>
      <c r="D276" s="4" t="n"/>
      <c r="E276" s="17" t="n"/>
      <c r="F276" s="4" t="n"/>
      <c r="G276" s="4" t="n"/>
    </row>
    <row r="277" ht="15" customHeight="1">
      <c r="A277" s="6" t="n"/>
      <c r="B277" s="14" t="n"/>
      <c r="C277" s="14" t="n"/>
      <c r="D277" s="6" t="n"/>
      <c r="E277" s="15" t="n"/>
      <c r="F277" s="6" t="n"/>
      <c r="G277" s="6" t="n"/>
    </row>
    <row r="278" ht="15" customHeight="1">
      <c r="A278" s="4" t="n"/>
      <c r="B278" s="16" t="n"/>
      <c r="C278" s="16" t="n"/>
      <c r="D278" s="4" t="n"/>
      <c r="E278" s="17" t="n"/>
      <c r="F278" s="4" t="n"/>
      <c r="G278" s="4" t="n"/>
    </row>
    <row r="279" ht="15" customHeight="1">
      <c r="A279" s="6" t="n"/>
      <c r="B279" s="14" t="n"/>
      <c r="C279" s="14" t="n"/>
      <c r="D279" s="6" t="n"/>
      <c r="E279" s="15" t="n"/>
      <c r="F279" s="6" t="n"/>
      <c r="G279" s="6" t="n"/>
    </row>
    <row r="280" ht="15" customHeight="1">
      <c r="A280" s="4" t="n"/>
      <c r="B280" s="16" t="n"/>
      <c r="C280" s="16" t="n"/>
      <c r="D280" s="4" t="n"/>
      <c r="E280" s="17" t="n"/>
      <c r="F280" s="4" t="n"/>
      <c r="G280" s="4" t="n"/>
    </row>
    <row r="281" ht="15" customHeight="1">
      <c r="A281" s="6" t="n"/>
      <c r="B281" s="14" t="n"/>
      <c r="C281" s="14" t="n"/>
      <c r="D281" s="6" t="n"/>
      <c r="E281" s="15" t="n"/>
      <c r="F281" s="6" t="n"/>
      <c r="G281" s="6" t="n"/>
    </row>
    <row r="282" ht="15" customHeight="1">
      <c r="A282" s="4" t="n"/>
      <c r="B282" s="16" t="n"/>
      <c r="C282" s="16" t="n"/>
      <c r="D282" s="4" t="n"/>
      <c r="E282" s="17" t="n"/>
      <c r="F282" s="4" t="n"/>
      <c r="G282" s="4" t="n"/>
    </row>
    <row r="283" ht="15" customHeight="1">
      <c r="A283" s="6" t="n"/>
      <c r="B283" s="14" t="n"/>
      <c r="C283" s="14" t="n"/>
      <c r="D283" s="6" t="n"/>
      <c r="E283" s="15" t="n"/>
      <c r="F283" s="6" t="n"/>
      <c r="G283" s="6" t="n"/>
    </row>
    <row r="284" ht="15" customHeight="1">
      <c r="A284" s="4" t="n"/>
      <c r="B284" s="16" t="n"/>
      <c r="C284" s="16" t="n"/>
      <c r="D284" s="4" t="n"/>
      <c r="E284" s="17" t="n"/>
      <c r="F284" s="4" t="n"/>
      <c r="G284" s="4" t="n"/>
    </row>
    <row r="285" ht="15" customHeight="1">
      <c r="A285" s="6" t="n"/>
      <c r="B285" s="14" t="n"/>
      <c r="C285" s="14" t="n"/>
      <c r="D285" s="6" t="n"/>
      <c r="E285" s="15" t="n"/>
      <c r="F285" s="6" t="n"/>
      <c r="G285" s="6" t="n"/>
    </row>
    <row r="286" ht="15" customHeight="1">
      <c r="A286" s="4" t="n"/>
      <c r="B286" s="16" t="n"/>
      <c r="C286" s="16" t="n"/>
      <c r="D286" s="4" t="n"/>
      <c r="E286" s="17" t="n"/>
      <c r="F286" s="4" t="n"/>
      <c r="G286" s="4" t="n"/>
    </row>
    <row r="287" ht="15" customHeight="1">
      <c r="A287" s="6" t="n"/>
      <c r="B287" s="14" t="n"/>
      <c r="C287" s="14" t="n"/>
      <c r="D287" s="6" t="n"/>
      <c r="E287" s="15" t="n"/>
      <c r="F287" s="6" t="n"/>
      <c r="G287" s="6" t="n"/>
    </row>
    <row r="288" ht="15" customHeight="1">
      <c r="A288" s="4" t="n"/>
      <c r="B288" s="16" t="n"/>
      <c r="C288" s="16" t="n"/>
      <c r="D288" s="4" t="n"/>
      <c r="E288" s="17" t="n"/>
      <c r="F288" s="4" t="n"/>
      <c r="G288" s="4" t="n"/>
    </row>
    <row r="289" ht="15" customHeight="1">
      <c r="A289" s="6" t="n"/>
      <c r="B289" s="14" t="n"/>
      <c r="C289" s="14" t="n"/>
      <c r="D289" s="6" t="n"/>
      <c r="E289" s="15" t="n"/>
      <c r="F289" s="6" t="n"/>
      <c r="G289" s="6" t="n"/>
    </row>
    <row r="290" ht="15" customHeight="1">
      <c r="A290" s="4" t="n"/>
      <c r="B290" s="16" t="n"/>
      <c r="C290" s="16" t="n"/>
      <c r="D290" s="4" t="n"/>
      <c r="E290" s="17" t="n"/>
      <c r="F290" s="4" t="n"/>
      <c r="G290" s="4" t="n"/>
    </row>
    <row r="291" ht="15" customHeight="1">
      <c r="A291" s="6" t="n"/>
      <c r="B291" s="14" t="n"/>
      <c r="C291" s="14" t="n"/>
      <c r="D291" s="6" t="n"/>
      <c r="E291" s="15" t="n"/>
      <c r="F291" s="6" t="n"/>
      <c r="G291" s="6" t="n"/>
    </row>
    <row r="292" ht="15" customHeight="1">
      <c r="A292" s="4" t="n"/>
      <c r="B292" s="16" t="n"/>
      <c r="C292" s="16" t="n"/>
      <c r="D292" s="4" t="n"/>
      <c r="E292" s="17" t="n"/>
      <c r="F292" s="4" t="n"/>
      <c r="G292" s="4" t="n"/>
    </row>
    <row r="293" ht="15" customHeight="1">
      <c r="A293" s="6" t="n"/>
      <c r="B293" s="14" t="n"/>
      <c r="C293" s="14" t="n"/>
      <c r="D293" s="6" t="n"/>
      <c r="E293" s="15" t="n"/>
      <c r="F293" s="6" t="n"/>
      <c r="G293" s="6" t="n"/>
    </row>
    <row r="294" ht="15" customHeight="1">
      <c r="A294" s="4" t="n"/>
      <c r="B294" s="16" t="n"/>
      <c r="C294" s="16" t="n"/>
      <c r="D294" s="4" t="n"/>
      <c r="E294" s="17" t="n"/>
      <c r="F294" s="4" t="n"/>
      <c r="G294" s="4" t="n"/>
    </row>
    <row r="295" ht="15" customHeight="1">
      <c r="A295" s="6" t="n"/>
      <c r="B295" s="14" t="n"/>
      <c r="C295" s="14" t="n"/>
      <c r="D295" s="6" t="n"/>
      <c r="E295" s="15" t="n"/>
      <c r="F295" s="6" t="n"/>
      <c r="G295" s="6" t="n"/>
    </row>
    <row r="296" ht="15" customHeight="1">
      <c r="A296" s="4" t="n"/>
      <c r="B296" s="16" t="n"/>
      <c r="C296" s="16" t="n"/>
      <c r="D296" s="4" t="n"/>
      <c r="E296" s="17" t="n"/>
      <c r="F296" s="4" t="n"/>
      <c r="G296" s="4" t="n"/>
    </row>
    <row r="297" ht="15" customHeight="1">
      <c r="A297" s="6" t="n"/>
      <c r="B297" s="14" t="n"/>
      <c r="C297" s="14" t="n"/>
      <c r="D297" s="6" t="n"/>
      <c r="E297" s="15" t="n"/>
      <c r="F297" s="6" t="n"/>
      <c r="G297" s="6" t="n"/>
    </row>
    <row r="298" ht="15" customHeight="1">
      <c r="A298" s="4" t="n"/>
      <c r="B298" s="16" t="n"/>
      <c r="C298" s="16" t="n"/>
      <c r="D298" s="4" t="n"/>
      <c r="E298" s="17" t="n"/>
      <c r="F298" s="4" t="n"/>
      <c r="G298" s="4" t="n"/>
    </row>
    <row r="299" ht="15" customHeight="1">
      <c r="A299" s="6" t="n"/>
      <c r="B299" s="14" t="n"/>
      <c r="C299" s="14" t="n"/>
      <c r="D299" s="6" t="n"/>
      <c r="E299" s="15" t="n"/>
      <c r="F299" s="6" t="n"/>
      <c r="G299" s="6" t="n"/>
    </row>
    <row r="300" ht="15" customHeight="1">
      <c r="A300" s="4" t="n"/>
      <c r="B300" s="16" t="n"/>
      <c r="C300" s="16" t="n"/>
      <c r="D300" s="4" t="n"/>
      <c r="E300" s="17" t="n"/>
      <c r="F300" s="4" t="n"/>
      <c r="G300" s="4" t="n"/>
    </row>
    <row r="301" ht="15" customHeight="1">
      <c r="A301" s="6" t="n"/>
      <c r="B301" s="14" t="n"/>
      <c r="C301" s="14" t="n"/>
      <c r="D301" s="6" t="n"/>
      <c r="E301" s="15" t="n"/>
      <c r="F301" s="6" t="n"/>
      <c r="G301" s="6" t="n"/>
    </row>
    <row r="302" ht="15" customHeight="1">
      <c r="A302" s="4" t="n"/>
      <c r="B302" s="16" t="n"/>
      <c r="C302" s="16" t="n"/>
      <c r="D302" s="4" t="n"/>
      <c r="E302" s="17" t="n"/>
      <c r="F302" s="4" t="n"/>
      <c r="G302" s="4" t="n"/>
    </row>
  </sheetData>
  <autoFilter ref="A2:G302"/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375623"/>
    <outlinePr summaryBelow="1" summaryRight="1"/>
    <pageSetUpPr/>
  </sheetPr>
  <dimension ref="A1:D3539"/>
  <sheetViews>
    <sheetView zoomScaleNormal="100" workbookViewId="0">
      <pane ySplit="2" topLeftCell="A3" activePane="bottomLeft" state="frozen"/>
      <selection pane="bottomLeft" activeCell="A3" sqref="A3"/>
    </sheetView>
  </sheetViews>
  <sheetFormatPr baseColWidth="8" defaultColWidth="8.7109375" defaultRowHeight="15"/>
  <cols>
    <col width="16" customWidth="1" min="1" max="2"/>
    <col width="35" customWidth="1" min="3" max="3"/>
    <col width="8" customWidth="1" min="4" max="4"/>
  </cols>
  <sheetData>
    <row r="1" ht="34.5" customHeight="1">
      <c r="A1" s="31" t="inlineStr">
        <is>
          <t>DB — Historical Database (Swappable: Paste Any Clean DB Here)</t>
        </is>
      </c>
    </row>
    <row r="2" ht="30" customHeight="1">
      <c r="A2" s="18" t="inlineStr">
        <is>
          <t>Part No</t>
        </is>
      </c>
      <c r="B2" s="18" t="inlineStr">
        <is>
          <t>HS Code</t>
        </is>
      </c>
      <c r="C2" s="18" t="inlineStr">
        <is>
          <t>Designation</t>
        </is>
      </c>
      <c r="D2" s="18" t="inlineStr">
        <is>
          <t>Class</t>
        </is>
      </c>
    </row>
    <row r="3" ht="15" customHeight="1">
      <c r="A3" s="35" t="inlineStr">
        <is>
          <t>SAMPLE-001</t>
        </is>
      </c>
      <c r="B3" s="35" t="inlineStr">
        <is>
          <t>8450909900</t>
        </is>
      </c>
      <c r="C3" s="35" t="inlineStr">
        <is>
          <t>Sample Part — Washing Machine</t>
        </is>
      </c>
      <c r="D3" s="35" t="inlineStr">
        <is>
          <t>WM</t>
        </is>
      </c>
    </row>
    <row r="4" ht="15" customHeight="1">
      <c r="A4" s="35" t="inlineStr">
        <is>
          <t>SAMPLE-002</t>
        </is>
      </c>
      <c r="B4" s="35" t="inlineStr">
        <is>
          <t>8418999300</t>
        </is>
      </c>
      <c r="C4" s="35" t="inlineStr">
        <is>
          <t>Sample Part — Refrigerator</t>
        </is>
      </c>
      <c r="D4" s="35" t="inlineStr">
        <is>
          <t>RF</t>
        </is>
      </c>
    </row>
    <row r="5" ht="15" customHeight="1">
      <c r="A5" s="35" t="inlineStr">
        <is>
          <t>SAMPLE-003</t>
        </is>
      </c>
      <c r="B5" s="35" t="inlineStr">
        <is>
          <t>8415901300</t>
        </is>
      </c>
      <c r="C5" s="35" t="inlineStr">
        <is>
          <t>Sample Part — Air Conditioner</t>
        </is>
      </c>
      <c r="D5" s="35" t="inlineStr">
        <is>
          <t>AC</t>
        </is>
      </c>
    </row>
    <row r="6" ht="15" customHeight="1">
      <c r="A6" s="35" t="n"/>
      <c r="B6" s="35" t="n"/>
      <c r="C6" s="35" t="n"/>
      <c r="D6" s="35" t="n"/>
    </row>
    <row r="7" ht="15" customHeight="1">
      <c r="A7" s="35" t="n"/>
      <c r="B7" s="35" t="n"/>
      <c r="C7" s="35" t="n"/>
      <c r="D7" s="35" t="n"/>
    </row>
    <row r="8" ht="15" customHeight="1">
      <c r="A8" s="35" t="n"/>
      <c r="B8" s="35" t="n"/>
      <c r="C8" s="35" t="n"/>
      <c r="D8" s="35" t="n"/>
    </row>
    <row r="9" ht="15" customHeight="1">
      <c r="A9" s="35" t="n"/>
      <c r="B9" s="35" t="n"/>
      <c r="C9" s="35" t="n"/>
      <c r="D9" s="35" t="n"/>
    </row>
    <row r="10" ht="15" customHeight="1">
      <c r="A10" s="35" t="n"/>
      <c r="B10" s="35" t="n"/>
      <c r="C10" s="35" t="n"/>
      <c r="D10" s="35" t="n"/>
    </row>
    <row r="11" ht="15" customHeight="1">
      <c r="A11" s="35" t="n"/>
      <c r="B11" s="35" t="n"/>
      <c r="C11" s="35" t="n"/>
      <c r="D11" s="35" t="n"/>
    </row>
    <row r="12" ht="15" customHeight="1">
      <c r="A12" s="35" t="n"/>
      <c r="B12" s="35" t="n"/>
      <c r="C12" s="35" t="n"/>
      <c r="D12" s="35" t="n"/>
    </row>
    <row r="13" ht="15" customHeight="1">
      <c r="A13" s="35" t="n"/>
      <c r="B13" s="35" t="n"/>
      <c r="C13" s="35" t="n"/>
      <c r="D13" s="35" t="n"/>
    </row>
    <row r="14" ht="15" customHeight="1">
      <c r="A14" s="35" t="n"/>
      <c r="B14" s="35" t="n"/>
      <c r="C14" s="35" t="n"/>
      <c r="D14" s="35" t="n"/>
    </row>
    <row r="15" ht="15" customHeight="1">
      <c r="A15" s="35" t="n"/>
      <c r="B15" s="35" t="n"/>
      <c r="C15" s="35" t="n"/>
      <c r="D15" s="35" t="n"/>
    </row>
    <row r="16" ht="15" customHeight="1">
      <c r="A16" s="35" t="n"/>
      <c r="B16" s="35" t="n"/>
      <c r="C16" s="35" t="n"/>
      <c r="D16" s="35" t="n"/>
    </row>
    <row r="17" ht="15" customHeight="1">
      <c r="A17" s="35" t="n"/>
      <c r="B17" s="35" t="n"/>
      <c r="C17" s="35" t="n"/>
      <c r="D17" s="35" t="n"/>
    </row>
    <row r="18" ht="15" customHeight="1">
      <c r="A18" s="35" t="n"/>
      <c r="B18" s="35" t="n"/>
      <c r="C18" s="35" t="n"/>
      <c r="D18" s="35" t="n"/>
    </row>
    <row r="19" ht="15" customHeight="1">
      <c r="A19" s="35" t="n"/>
      <c r="B19" s="35" t="n"/>
      <c r="C19" s="35" t="n"/>
      <c r="D19" s="35" t="n"/>
    </row>
    <row r="20" ht="15" customHeight="1">
      <c r="A20" s="35" t="n"/>
      <c r="B20" s="35" t="n"/>
      <c r="C20" s="35" t="n"/>
      <c r="D20" s="35" t="n"/>
    </row>
    <row r="21" ht="15" customHeight="1">
      <c r="A21" s="35" t="n"/>
      <c r="B21" s="35" t="n"/>
      <c r="C21" s="35" t="n"/>
      <c r="D21" s="35" t="n"/>
    </row>
    <row r="22" ht="15" customHeight="1">
      <c r="A22" s="35" t="n"/>
      <c r="B22" s="35" t="n"/>
      <c r="C22" s="35" t="n"/>
      <c r="D22" s="35" t="n"/>
    </row>
    <row r="23" ht="15" customHeight="1">
      <c r="A23" s="35" t="n"/>
      <c r="B23" s="35" t="n"/>
      <c r="C23" s="35" t="n"/>
      <c r="D23" s="35" t="n"/>
    </row>
    <row r="24" ht="15" customHeight="1">
      <c r="A24" s="35" t="n"/>
      <c r="B24" s="35" t="n"/>
      <c r="C24" s="35" t="n"/>
      <c r="D24" s="35" t="n"/>
    </row>
    <row r="25" ht="15" customHeight="1">
      <c r="A25" s="35" t="n"/>
      <c r="B25" s="35" t="n"/>
      <c r="C25" s="35" t="n"/>
      <c r="D25" s="35" t="n"/>
    </row>
    <row r="26" ht="15" customHeight="1">
      <c r="A26" s="35" t="n"/>
      <c r="B26" s="35" t="n"/>
      <c r="C26" s="35" t="n"/>
      <c r="D26" s="35" t="n"/>
    </row>
    <row r="27" ht="15" customHeight="1">
      <c r="A27" s="35" t="n"/>
      <c r="B27" s="35" t="n"/>
      <c r="C27" s="35" t="n"/>
      <c r="D27" s="35" t="n"/>
    </row>
    <row r="28" ht="15" customHeight="1">
      <c r="A28" s="35" t="n"/>
      <c r="B28" s="35" t="n"/>
      <c r="C28" s="35" t="n"/>
      <c r="D28" s="35" t="n"/>
    </row>
    <row r="29" ht="15" customHeight="1">
      <c r="A29" s="35" t="n"/>
      <c r="B29" s="35" t="n"/>
      <c r="C29" s="35" t="n"/>
      <c r="D29" s="35" t="n"/>
    </row>
    <row r="30" ht="15" customHeight="1">
      <c r="A30" s="35" t="n"/>
      <c r="B30" s="35" t="n"/>
      <c r="C30" s="35" t="n"/>
      <c r="D30" s="35" t="n"/>
    </row>
    <row r="31" ht="15" customHeight="1">
      <c r="A31" s="35" t="n"/>
      <c r="B31" s="35" t="n"/>
      <c r="C31" s="35" t="n"/>
      <c r="D31" s="35" t="n"/>
    </row>
    <row r="32" ht="15" customHeight="1">
      <c r="A32" s="35" t="n"/>
      <c r="B32" s="35" t="n"/>
      <c r="C32" s="35" t="n"/>
      <c r="D32" s="35" t="n"/>
    </row>
    <row r="33" ht="15" customHeight="1">
      <c r="A33" s="35" t="n"/>
      <c r="B33" s="35" t="n"/>
      <c r="C33" s="35" t="n"/>
      <c r="D33" s="35" t="n"/>
    </row>
    <row r="34" ht="15" customHeight="1">
      <c r="A34" s="35" t="n"/>
      <c r="B34" s="35" t="n"/>
      <c r="C34" s="35" t="n"/>
      <c r="D34" s="35" t="n"/>
    </row>
    <row r="35" ht="15" customHeight="1">
      <c r="A35" s="35" t="n"/>
      <c r="B35" s="35" t="n"/>
      <c r="C35" s="35" t="n"/>
      <c r="D35" s="35" t="n"/>
    </row>
    <row r="36" ht="15" customHeight="1">
      <c r="A36" s="35" t="n"/>
      <c r="B36" s="35" t="n"/>
      <c r="C36" s="35" t="n"/>
      <c r="D36" s="35" t="n"/>
    </row>
    <row r="37" ht="15" customHeight="1">
      <c r="A37" s="35" t="n"/>
      <c r="B37" s="35" t="n"/>
      <c r="C37" s="35" t="n"/>
      <c r="D37" s="35" t="n"/>
    </row>
    <row r="38" ht="15" customHeight="1">
      <c r="A38" s="35" t="n"/>
      <c r="B38" s="35" t="n"/>
      <c r="C38" s="35" t="n"/>
      <c r="D38" s="35" t="n"/>
    </row>
    <row r="39" ht="15" customHeight="1">
      <c r="A39" s="35" t="n"/>
      <c r="B39" s="35" t="n"/>
      <c r="C39" s="35" t="n"/>
      <c r="D39" s="35" t="n"/>
    </row>
    <row r="40" ht="15" customHeight="1">
      <c r="A40" s="35" t="n"/>
      <c r="B40" s="35" t="n"/>
      <c r="C40" s="35" t="n"/>
      <c r="D40" s="35" t="n"/>
    </row>
    <row r="41" ht="15" customHeight="1">
      <c r="A41" s="35" t="n"/>
      <c r="B41" s="35" t="n"/>
      <c r="C41" s="35" t="n"/>
      <c r="D41" s="35" t="n"/>
    </row>
    <row r="42" ht="15" customHeight="1">
      <c r="A42" s="35" t="n"/>
      <c r="B42" s="35" t="n"/>
      <c r="C42" s="35" t="n"/>
      <c r="D42" s="35" t="n"/>
    </row>
    <row r="43" ht="15" customHeight="1">
      <c r="A43" s="35" t="n"/>
      <c r="B43" s="35" t="n"/>
      <c r="C43" s="35" t="n"/>
      <c r="D43" s="35" t="n"/>
    </row>
    <row r="44" ht="15" customHeight="1">
      <c r="A44" s="35" t="n"/>
      <c r="B44" s="35" t="n"/>
      <c r="C44" s="35" t="n"/>
      <c r="D44" s="35" t="n"/>
    </row>
    <row r="45" ht="15" customHeight="1">
      <c r="A45" s="35" t="n"/>
      <c r="B45" s="35" t="n"/>
      <c r="C45" s="35" t="n"/>
      <c r="D45" s="35" t="n"/>
    </row>
    <row r="46" ht="15" customHeight="1">
      <c r="A46" s="35" t="n"/>
      <c r="B46" s="35" t="n"/>
      <c r="C46" s="35" t="n"/>
      <c r="D46" s="35" t="n"/>
    </row>
    <row r="47" ht="15" customHeight="1">
      <c r="A47" s="35" t="n"/>
      <c r="B47" s="35" t="n"/>
      <c r="C47" s="35" t="n"/>
      <c r="D47" s="35" t="n"/>
    </row>
    <row r="48" ht="15" customHeight="1">
      <c r="A48" s="35" t="n"/>
      <c r="B48" s="35" t="n"/>
      <c r="C48" s="35" t="n"/>
      <c r="D48" s="35" t="n"/>
    </row>
    <row r="49" ht="15" customHeight="1">
      <c r="A49" s="35" t="n"/>
      <c r="B49" s="35" t="n"/>
      <c r="C49" s="35" t="n"/>
      <c r="D49" s="35" t="n"/>
    </row>
    <row r="50" ht="15" customHeight="1">
      <c r="A50" s="35" t="n"/>
      <c r="B50" s="35" t="n"/>
      <c r="C50" s="35" t="n"/>
      <c r="D50" s="35" t="n"/>
    </row>
    <row r="51" ht="15" customHeight="1">
      <c r="A51" s="35" t="n"/>
      <c r="B51" s="35" t="n"/>
      <c r="C51" s="35" t="n"/>
      <c r="D51" s="35" t="n"/>
    </row>
    <row r="52" ht="15" customHeight="1">
      <c r="A52" s="35" t="n"/>
      <c r="B52" s="35" t="n"/>
      <c r="C52" s="35" t="n"/>
      <c r="D52" s="35" t="n"/>
    </row>
    <row r="53" ht="15" customHeight="1">
      <c r="A53" s="35" t="n"/>
      <c r="B53" s="35" t="n"/>
      <c r="C53" s="35" t="n"/>
      <c r="D53" s="35" t="n"/>
    </row>
    <row r="54" ht="15" customHeight="1">
      <c r="A54" s="35" t="n"/>
      <c r="B54" s="35" t="n"/>
      <c r="C54" s="35" t="n"/>
      <c r="D54" s="35" t="n"/>
    </row>
    <row r="55" ht="15" customHeight="1">
      <c r="A55" s="35" t="n"/>
      <c r="B55" s="35" t="n"/>
      <c r="C55" s="35" t="n"/>
      <c r="D55" s="35" t="n"/>
    </row>
    <row r="56" ht="15" customHeight="1">
      <c r="A56" s="35" t="n"/>
      <c r="B56" s="35" t="n"/>
      <c r="C56" s="35" t="n"/>
      <c r="D56" s="35" t="n"/>
    </row>
    <row r="57" ht="15" customHeight="1">
      <c r="A57" s="35" t="n"/>
      <c r="B57" s="35" t="n"/>
      <c r="C57" s="35" t="n"/>
      <c r="D57" s="35" t="n"/>
    </row>
    <row r="58" ht="15" customHeight="1">
      <c r="A58" s="35" t="n"/>
      <c r="B58" s="35" t="n"/>
      <c r="C58" s="35" t="n"/>
      <c r="D58" s="35" t="n"/>
    </row>
    <row r="59" ht="15" customHeight="1">
      <c r="A59" s="35" t="n"/>
      <c r="B59" s="35" t="n"/>
      <c r="C59" s="35" t="n"/>
      <c r="D59" s="35" t="n"/>
    </row>
    <row r="60" ht="15" customHeight="1">
      <c r="A60" s="35" t="n"/>
      <c r="B60" s="35" t="n"/>
      <c r="C60" s="35" t="n"/>
      <c r="D60" s="35" t="n"/>
    </row>
    <row r="61" ht="15" customHeight="1">
      <c r="A61" s="35" t="n"/>
      <c r="B61" s="35" t="n"/>
      <c r="C61" s="35" t="n"/>
      <c r="D61" s="35" t="n"/>
    </row>
    <row r="62" ht="15" customHeight="1">
      <c r="A62" s="35" t="n"/>
      <c r="B62" s="35" t="n"/>
      <c r="C62" s="35" t="n"/>
      <c r="D62" s="35" t="n"/>
    </row>
    <row r="63" ht="15" customHeight="1">
      <c r="A63" s="35" t="n"/>
      <c r="B63" s="35" t="n"/>
      <c r="C63" s="35" t="n"/>
      <c r="D63" s="35" t="n"/>
    </row>
    <row r="64" ht="15" customHeight="1">
      <c r="A64" s="35" t="n"/>
      <c r="B64" s="35" t="n"/>
      <c r="C64" s="35" t="n"/>
      <c r="D64" s="35" t="n"/>
    </row>
    <row r="65" ht="15" customHeight="1">
      <c r="A65" s="35" t="n"/>
      <c r="B65" s="35" t="n"/>
      <c r="C65" s="35" t="n"/>
      <c r="D65" s="35" t="n"/>
    </row>
    <row r="66" ht="15" customHeight="1">
      <c r="A66" s="35" t="n"/>
      <c r="B66" s="35" t="n"/>
      <c r="C66" s="35" t="n"/>
      <c r="D66" s="35" t="n"/>
    </row>
    <row r="67" ht="15" customHeight="1">
      <c r="A67" s="35" t="n"/>
      <c r="B67" s="35" t="n"/>
      <c r="C67" s="35" t="n"/>
      <c r="D67" s="35" t="n"/>
    </row>
    <row r="68" ht="15" customHeight="1">
      <c r="A68" s="35" t="n"/>
      <c r="B68" s="35" t="n"/>
      <c r="C68" s="35" t="n"/>
      <c r="D68" s="35" t="n"/>
    </row>
    <row r="69" ht="15" customHeight="1">
      <c r="A69" s="35" t="n"/>
      <c r="B69" s="35" t="n"/>
      <c r="C69" s="35" t="n"/>
      <c r="D69" s="35" t="n"/>
    </row>
    <row r="70" ht="15" customHeight="1">
      <c r="A70" s="35" t="n"/>
      <c r="B70" s="35" t="n"/>
      <c r="C70" s="35" t="n"/>
      <c r="D70" s="35" t="n"/>
    </row>
    <row r="71" ht="15" customHeight="1">
      <c r="A71" s="35" t="n"/>
      <c r="B71" s="35" t="n"/>
      <c r="C71" s="35" t="n"/>
      <c r="D71" s="35" t="n"/>
    </row>
    <row r="72" ht="15" customHeight="1">
      <c r="A72" s="35" t="n"/>
      <c r="B72" s="35" t="n"/>
      <c r="C72" s="35" t="n"/>
      <c r="D72" s="35" t="n"/>
    </row>
    <row r="73" ht="15" customHeight="1">
      <c r="A73" s="35" t="n"/>
      <c r="B73" s="35" t="n"/>
      <c r="C73" s="35" t="n"/>
      <c r="D73" s="35" t="n"/>
    </row>
    <row r="74" ht="15" customHeight="1">
      <c r="A74" s="35" t="n"/>
      <c r="B74" s="35" t="n"/>
      <c r="C74" s="35" t="n"/>
      <c r="D74" s="35" t="n"/>
    </row>
    <row r="75" ht="15" customHeight="1">
      <c r="A75" s="35" t="n"/>
      <c r="B75" s="35" t="n"/>
      <c r="C75" s="35" t="n"/>
      <c r="D75" s="35" t="n"/>
    </row>
    <row r="76" ht="15" customHeight="1">
      <c r="A76" s="35" t="n"/>
      <c r="B76" s="35" t="n"/>
      <c r="C76" s="35" t="n"/>
      <c r="D76" s="35" t="n"/>
    </row>
    <row r="77" ht="15" customHeight="1">
      <c r="A77" s="35" t="n"/>
      <c r="B77" s="35" t="n"/>
      <c r="C77" s="35" t="n"/>
      <c r="D77" s="35" t="n"/>
    </row>
    <row r="78" ht="15" customHeight="1">
      <c r="A78" s="35" t="n"/>
      <c r="B78" s="35" t="n"/>
      <c r="C78" s="35" t="n"/>
      <c r="D78" s="35" t="n"/>
    </row>
    <row r="79" ht="15" customHeight="1">
      <c r="A79" s="35" t="n"/>
      <c r="B79" s="35" t="n"/>
      <c r="C79" s="35" t="n"/>
      <c r="D79" s="35" t="n"/>
    </row>
    <row r="80" ht="15" customHeight="1">
      <c r="A80" s="35" t="n"/>
      <c r="B80" s="35" t="n"/>
      <c r="C80" s="35" t="n"/>
      <c r="D80" s="35" t="n"/>
    </row>
    <row r="81" ht="15" customHeight="1">
      <c r="A81" s="35" t="n"/>
      <c r="B81" s="35" t="n"/>
      <c r="C81" s="35" t="n"/>
      <c r="D81" s="35" t="n"/>
    </row>
    <row r="82" ht="15" customHeight="1">
      <c r="A82" s="35" t="n"/>
      <c r="B82" s="35" t="n"/>
      <c r="C82" s="35" t="n"/>
      <c r="D82" s="35" t="n"/>
    </row>
    <row r="83" ht="15" customHeight="1">
      <c r="A83" s="35" t="n"/>
      <c r="B83" s="35" t="n"/>
      <c r="C83" s="35" t="n"/>
      <c r="D83" s="35" t="n"/>
    </row>
    <row r="84" ht="15" customHeight="1">
      <c r="A84" s="35" t="n"/>
      <c r="B84" s="35" t="n"/>
      <c r="C84" s="35" t="n"/>
      <c r="D84" s="35" t="n"/>
    </row>
    <row r="85" ht="15" customHeight="1">
      <c r="A85" s="35" t="n"/>
      <c r="B85" s="35" t="n"/>
      <c r="C85" s="35" t="n"/>
      <c r="D85" s="35" t="n"/>
    </row>
    <row r="86" ht="15" customHeight="1">
      <c r="A86" s="35" t="n"/>
      <c r="B86" s="35" t="n"/>
      <c r="C86" s="35" t="n"/>
      <c r="D86" s="35" t="n"/>
    </row>
    <row r="87" ht="15" customHeight="1">
      <c r="A87" s="35" t="n"/>
      <c r="B87" s="35" t="n"/>
      <c r="C87" s="35" t="n"/>
      <c r="D87" s="35" t="n"/>
    </row>
    <row r="88" ht="15" customHeight="1">
      <c r="A88" s="35" t="n"/>
      <c r="B88" s="35" t="n"/>
      <c r="C88" s="35" t="n"/>
      <c r="D88" s="35" t="n"/>
    </row>
    <row r="89" ht="15" customHeight="1">
      <c r="A89" s="35" t="n"/>
      <c r="B89" s="35" t="n"/>
      <c r="C89" s="35" t="n"/>
      <c r="D89" s="35" t="n"/>
    </row>
    <row r="90" ht="15" customHeight="1">
      <c r="A90" s="35" t="n"/>
      <c r="B90" s="35" t="n"/>
      <c r="C90" s="35" t="n"/>
      <c r="D90" s="35" t="n"/>
    </row>
    <row r="91" ht="15" customHeight="1">
      <c r="A91" s="35" t="n"/>
      <c r="B91" s="35" t="n"/>
      <c r="C91" s="35" t="n"/>
      <c r="D91" s="35" t="n"/>
    </row>
    <row r="92" ht="15" customHeight="1">
      <c r="A92" s="35" t="n"/>
      <c r="B92" s="35" t="n"/>
      <c r="C92" s="35" t="n"/>
      <c r="D92" s="35" t="n"/>
    </row>
    <row r="93" ht="15" customHeight="1">
      <c r="A93" s="35" t="n"/>
      <c r="B93" s="35" t="n"/>
      <c r="C93" s="35" t="n"/>
      <c r="D93" s="35" t="n"/>
    </row>
    <row r="94" ht="15" customHeight="1">
      <c r="A94" s="35" t="n"/>
      <c r="B94" s="35" t="n"/>
      <c r="C94" s="35" t="n"/>
      <c r="D94" s="35" t="n"/>
    </row>
    <row r="95" ht="15" customHeight="1">
      <c r="A95" s="35" t="n"/>
      <c r="B95" s="35" t="n"/>
      <c r="C95" s="35" t="n"/>
      <c r="D95" s="35" t="n"/>
    </row>
    <row r="96" ht="15" customHeight="1">
      <c r="A96" s="35" t="n"/>
      <c r="B96" s="35" t="n"/>
      <c r="C96" s="35" t="n"/>
      <c r="D96" s="35" t="n"/>
    </row>
    <row r="97" ht="15" customHeight="1">
      <c r="A97" s="35" t="n"/>
      <c r="B97" s="35" t="n"/>
      <c r="C97" s="35" t="n"/>
      <c r="D97" s="35" t="n"/>
    </row>
    <row r="98" ht="15" customHeight="1">
      <c r="A98" s="35" t="n"/>
      <c r="B98" s="35" t="n"/>
      <c r="C98" s="35" t="n"/>
      <c r="D98" s="35" t="n"/>
    </row>
    <row r="99" ht="15" customHeight="1">
      <c r="A99" s="35" t="n"/>
      <c r="B99" s="35" t="n"/>
      <c r="C99" s="35" t="n"/>
      <c r="D99" s="35" t="n"/>
    </row>
    <row r="100" ht="15" customHeight="1">
      <c r="A100" s="35" t="n"/>
      <c r="B100" s="35" t="n"/>
      <c r="C100" s="35" t="n"/>
      <c r="D100" s="35" t="n"/>
    </row>
    <row r="101" ht="15" customHeight="1">
      <c r="A101" s="35" t="n"/>
      <c r="B101" s="35" t="n"/>
      <c r="C101" s="35" t="n"/>
      <c r="D101" s="35" t="n"/>
    </row>
    <row r="102" ht="15" customHeight="1">
      <c r="A102" s="35" t="n"/>
      <c r="B102" s="35" t="n"/>
      <c r="C102" s="35" t="n"/>
      <c r="D102" s="35" t="n"/>
    </row>
    <row r="103" ht="15" customHeight="1">
      <c r="A103" s="35" t="n"/>
      <c r="B103" s="35" t="n"/>
      <c r="C103" s="35" t="n"/>
      <c r="D103" s="35" t="n"/>
    </row>
    <row r="104" ht="15" customHeight="1">
      <c r="A104" s="35" t="n"/>
      <c r="B104" s="35" t="n"/>
      <c r="C104" s="35" t="n"/>
      <c r="D104" s="35" t="n"/>
    </row>
    <row r="105" ht="15" customHeight="1">
      <c r="A105" s="35" t="n"/>
      <c r="B105" s="35" t="n"/>
      <c r="C105" s="35" t="n"/>
      <c r="D105" s="35" t="n"/>
    </row>
    <row r="106" ht="15" customHeight="1">
      <c r="A106" s="35" t="n"/>
      <c r="B106" s="35" t="n"/>
      <c r="C106" s="35" t="n"/>
      <c r="D106" s="35" t="n"/>
    </row>
    <row r="107" ht="15" customHeight="1">
      <c r="A107" s="35" t="n"/>
      <c r="B107" s="35" t="n"/>
      <c r="C107" s="35" t="n"/>
      <c r="D107" s="35" t="n"/>
    </row>
    <row r="108" ht="15" customHeight="1">
      <c r="A108" s="35" t="n"/>
      <c r="B108" s="35" t="n"/>
      <c r="C108" s="35" t="n"/>
      <c r="D108" s="35" t="n"/>
    </row>
    <row r="109" ht="15" customHeight="1">
      <c r="A109" s="35" t="n"/>
      <c r="B109" s="35" t="n"/>
      <c r="C109" s="35" t="n"/>
      <c r="D109" s="35" t="n"/>
    </row>
    <row r="110" ht="15" customHeight="1">
      <c r="A110" s="35" t="n"/>
      <c r="B110" s="35" t="n"/>
      <c r="C110" s="35" t="n"/>
      <c r="D110" s="35" t="n"/>
    </row>
    <row r="111" ht="15" customHeight="1">
      <c r="A111" s="35" t="n"/>
      <c r="B111" s="35" t="n"/>
      <c r="C111" s="35" t="n"/>
      <c r="D111" s="35" t="n"/>
    </row>
    <row r="112" ht="15" customHeight="1">
      <c r="A112" s="35" t="n"/>
      <c r="B112" s="35" t="n"/>
      <c r="C112" s="35" t="n"/>
      <c r="D112" s="35" t="n"/>
    </row>
    <row r="113" ht="15" customHeight="1">
      <c r="A113" s="35" t="n"/>
      <c r="B113" s="35" t="n"/>
      <c r="C113" s="35" t="n"/>
      <c r="D113" s="35" t="n"/>
    </row>
    <row r="114" ht="15" customHeight="1">
      <c r="A114" s="35" t="n"/>
      <c r="B114" s="35" t="n"/>
      <c r="C114" s="35" t="n"/>
      <c r="D114" s="35" t="n"/>
    </row>
    <row r="115" ht="15" customHeight="1">
      <c r="A115" s="35" t="n"/>
      <c r="B115" s="35" t="n"/>
      <c r="C115" s="35" t="n"/>
      <c r="D115" s="35" t="n"/>
    </row>
    <row r="116" ht="15" customHeight="1">
      <c r="A116" s="35" t="n"/>
      <c r="B116" s="35" t="n"/>
      <c r="C116" s="35" t="n"/>
      <c r="D116" s="35" t="n"/>
    </row>
    <row r="117" ht="15" customHeight="1">
      <c r="A117" s="35" t="n"/>
      <c r="B117" s="35" t="n"/>
      <c r="C117" s="35" t="n"/>
      <c r="D117" s="35" t="n"/>
    </row>
    <row r="118" ht="15" customHeight="1">
      <c r="A118" s="35" t="n"/>
      <c r="B118" s="35" t="n"/>
      <c r="C118" s="35" t="n"/>
      <c r="D118" s="35" t="n"/>
    </row>
    <row r="119" ht="15" customHeight="1">
      <c r="A119" s="35" t="n"/>
      <c r="B119" s="35" t="n"/>
      <c r="C119" s="35" t="n"/>
      <c r="D119" s="35" t="n"/>
    </row>
    <row r="120" ht="15" customHeight="1">
      <c r="A120" s="35" t="n"/>
      <c r="B120" s="35" t="n"/>
      <c r="C120" s="35" t="n"/>
      <c r="D120" s="35" t="n"/>
    </row>
    <row r="121" ht="15" customHeight="1">
      <c r="A121" s="35" t="n"/>
      <c r="B121" s="35" t="n"/>
      <c r="C121" s="35" t="n"/>
      <c r="D121" s="35" t="n"/>
    </row>
    <row r="122" ht="15" customHeight="1">
      <c r="A122" s="35" t="n"/>
      <c r="B122" s="35" t="n"/>
      <c r="C122" s="35" t="n"/>
      <c r="D122" s="35" t="n"/>
    </row>
    <row r="123" ht="15" customHeight="1">
      <c r="A123" s="35" t="n"/>
      <c r="B123" s="35" t="n"/>
      <c r="C123" s="35" t="n"/>
      <c r="D123" s="35" t="n"/>
    </row>
    <row r="124" ht="15" customHeight="1">
      <c r="A124" s="35" t="n"/>
      <c r="B124" s="35" t="n"/>
      <c r="C124" s="35" t="n"/>
      <c r="D124" s="35" t="n"/>
    </row>
    <row r="125" ht="15" customHeight="1">
      <c r="A125" s="35" t="n"/>
      <c r="B125" s="35" t="n"/>
      <c r="C125" s="35" t="n"/>
      <c r="D125" s="35" t="n"/>
    </row>
    <row r="126" ht="15" customHeight="1">
      <c r="A126" s="35" t="n"/>
      <c r="B126" s="35" t="n"/>
      <c r="C126" s="35" t="n"/>
      <c r="D126" s="35" t="n"/>
    </row>
    <row r="127" ht="15" customHeight="1">
      <c r="A127" s="35" t="n"/>
      <c r="B127" s="35" t="n"/>
      <c r="C127" s="35" t="n"/>
      <c r="D127" s="35" t="n"/>
    </row>
    <row r="128" ht="15" customHeight="1">
      <c r="A128" s="35" t="n"/>
      <c r="B128" s="35" t="n"/>
      <c r="C128" s="35" t="n"/>
      <c r="D128" s="35" t="n"/>
    </row>
    <row r="129" ht="15" customHeight="1">
      <c r="A129" s="35" t="n"/>
      <c r="B129" s="35" t="n"/>
      <c r="C129" s="35" t="n"/>
      <c r="D129" s="35" t="n"/>
    </row>
    <row r="130" ht="15" customHeight="1">
      <c r="A130" s="35" t="n"/>
      <c r="B130" s="35" t="n"/>
      <c r="C130" s="35" t="n"/>
      <c r="D130" s="35" t="n"/>
    </row>
    <row r="131" ht="15" customHeight="1">
      <c r="A131" s="35" t="n"/>
      <c r="B131" s="35" t="n"/>
      <c r="C131" s="35" t="n"/>
      <c r="D131" s="35" t="n"/>
    </row>
    <row r="132" ht="15" customHeight="1">
      <c r="A132" s="35" t="n"/>
      <c r="B132" s="35" t="n"/>
      <c r="C132" s="35" t="n"/>
      <c r="D132" s="35" t="n"/>
    </row>
    <row r="133" ht="15" customHeight="1">
      <c r="A133" s="35" t="n"/>
      <c r="B133" s="35" t="n"/>
      <c r="C133" s="35" t="n"/>
      <c r="D133" s="35" t="n"/>
    </row>
    <row r="134" ht="15" customHeight="1">
      <c r="A134" s="35" t="n"/>
      <c r="B134" s="35" t="n"/>
      <c r="C134" s="35" t="n"/>
      <c r="D134" s="35" t="n"/>
    </row>
    <row r="135" ht="15" customHeight="1">
      <c r="A135" s="35" t="n"/>
      <c r="B135" s="35" t="n"/>
      <c r="C135" s="35" t="n"/>
      <c r="D135" s="35" t="n"/>
    </row>
    <row r="136" ht="15" customHeight="1">
      <c r="A136" s="35" t="n"/>
      <c r="B136" s="35" t="n"/>
      <c r="C136" s="35" t="n"/>
      <c r="D136" s="35" t="n"/>
    </row>
    <row r="137" ht="15" customHeight="1">
      <c r="A137" s="35" t="n"/>
      <c r="B137" s="35" t="n"/>
      <c r="C137" s="35" t="n"/>
      <c r="D137" s="35" t="n"/>
    </row>
    <row r="138" ht="15" customHeight="1">
      <c r="A138" s="35" t="n"/>
      <c r="B138" s="35" t="n"/>
      <c r="C138" s="35" t="n"/>
      <c r="D138" s="35" t="n"/>
    </row>
    <row r="139" ht="15" customHeight="1">
      <c r="A139" s="35" t="n"/>
      <c r="B139" s="35" t="n"/>
      <c r="C139" s="35" t="n"/>
      <c r="D139" s="35" t="n"/>
    </row>
    <row r="140" ht="15" customHeight="1">
      <c r="A140" s="35" t="n"/>
      <c r="B140" s="35" t="n"/>
      <c r="C140" s="35" t="n"/>
      <c r="D140" s="35" t="n"/>
    </row>
    <row r="141" ht="15" customHeight="1">
      <c r="A141" s="35" t="n"/>
      <c r="B141" s="35" t="n"/>
      <c r="C141" s="35" t="n"/>
      <c r="D141" s="35" t="n"/>
    </row>
    <row r="142" ht="15" customHeight="1">
      <c r="A142" s="35" t="n"/>
      <c r="B142" s="35" t="n"/>
      <c r="C142" s="35" t="n"/>
      <c r="D142" s="35" t="n"/>
    </row>
    <row r="143" ht="15" customHeight="1">
      <c r="A143" s="35" t="n"/>
      <c r="B143" s="35" t="n"/>
      <c r="C143" s="35" t="n"/>
      <c r="D143" s="35" t="n"/>
    </row>
    <row r="144" ht="15" customHeight="1">
      <c r="A144" s="35" t="n"/>
      <c r="B144" s="35" t="n"/>
      <c r="C144" s="35" t="n"/>
      <c r="D144" s="35" t="n"/>
    </row>
    <row r="145" ht="15" customHeight="1">
      <c r="A145" s="35" t="n"/>
      <c r="B145" s="35" t="n"/>
      <c r="C145" s="35" t="n"/>
      <c r="D145" s="35" t="n"/>
    </row>
    <row r="146" ht="15" customHeight="1">
      <c r="A146" s="35" t="n"/>
      <c r="B146" s="35" t="n"/>
      <c r="C146" s="35" t="n"/>
      <c r="D146" s="35" t="n"/>
    </row>
    <row r="147" ht="15" customHeight="1">
      <c r="A147" s="35" t="n"/>
      <c r="B147" s="35" t="n"/>
      <c r="C147" s="35" t="n"/>
      <c r="D147" s="35" t="n"/>
    </row>
    <row r="148" ht="15" customHeight="1">
      <c r="A148" s="35" t="n"/>
      <c r="B148" s="35" t="n"/>
      <c r="C148" s="35" t="n"/>
      <c r="D148" s="35" t="n"/>
    </row>
    <row r="149" ht="15" customHeight="1">
      <c r="A149" s="35" t="n"/>
      <c r="B149" s="35" t="n"/>
      <c r="C149" s="35" t="n"/>
      <c r="D149" s="35" t="n"/>
    </row>
    <row r="150" ht="15" customHeight="1">
      <c r="A150" s="35" t="n"/>
      <c r="B150" s="35" t="n"/>
      <c r="C150" s="35" t="n"/>
      <c r="D150" s="35" t="n"/>
    </row>
    <row r="151" ht="15" customHeight="1">
      <c r="A151" s="35" t="n"/>
      <c r="B151" s="35" t="n"/>
      <c r="C151" s="35" t="n"/>
      <c r="D151" s="35" t="n"/>
    </row>
    <row r="152" ht="15" customHeight="1">
      <c r="A152" s="35" t="n"/>
      <c r="B152" s="35" t="n"/>
      <c r="C152" s="35" t="n"/>
      <c r="D152" s="35" t="n"/>
    </row>
    <row r="153" ht="15" customHeight="1">
      <c r="A153" s="35" t="n"/>
      <c r="B153" s="35" t="n"/>
      <c r="C153" s="35" t="n"/>
      <c r="D153" s="35" t="n"/>
    </row>
    <row r="154" ht="15" customHeight="1">
      <c r="A154" s="35" t="n"/>
      <c r="B154" s="35" t="n"/>
      <c r="C154" s="35" t="n"/>
      <c r="D154" s="35" t="n"/>
    </row>
    <row r="155" ht="15" customHeight="1">
      <c r="A155" s="35" t="n"/>
      <c r="B155" s="35" t="n"/>
      <c r="C155" s="35" t="n"/>
      <c r="D155" s="35" t="n"/>
    </row>
    <row r="156" ht="15" customHeight="1">
      <c r="A156" s="35" t="n"/>
      <c r="B156" s="35" t="n"/>
      <c r="C156" s="35" t="n"/>
      <c r="D156" s="35" t="n"/>
    </row>
    <row r="157" ht="15" customHeight="1">
      <c r="A157" s="35" t="n"/>
      <c r="B157" s="35" t="n"/>
      <c r="C157" s="35" t="n"/>
      <c r="D157" s="35" t="n"/>
    </row>
    <row r="158" ht="15" customHeight="1">
      <c r="A158" s="35" t="n"/>
      <c r="B158" s="35" t="n"/>
      <c r="C158" s="35" t="n"/>
      <c r="D158" s="35" t="n"/>
    </row>
    <row r="159" ht="15" customHeight="1">
      <c r="A159" s="35" t="n"/>
      <c r="B159" s="35" t="n"/>
      <c r="C159" s="35" t="n"/>
      <c r="D159" s="35" t="n"/>
    </row>
    <row r="160" ht="15" customHeight="1">
      <c r="A160" s="35" t="n"/>
      <c r="B160" s="35" t="n"/>
      <c r="C160" s="35" t="n"/>
      <c r="D160" s="35" t="n"/>
    </row>
    <row r="161" ht="15" customHeight="1">
      <c r="A161" s="35" t="n"/>
      <c r="B161" s="35" t="n"/>
      <c r="C161" s="35" t="n"/>
      <c r="D161" s="35" t="n"/>
    </row>
    <row r="162" ht="15" customHeight="1">
      <c r="A162" s="35" t="n"/>
      <c r="B162" s="35" t="n"/>
      <c r="C162" s="35" t="n"/>
      <c r="D162" s="35" t="n"/>
    </row>
    <row r="163" ht="15" customHeight="1">
      <c r="A163" s="35" t="n"/>
      <c r="B163" s="35" t="n"/>
      <c r="C163" s="35" t="n"/>
      <c r="D163" s="35" t="n"/>
    </row>
    <row r="164" ht="15" customHeight="1">
      <c r="A164" s="35" t="n"/>
      <c r="B164" s="35" t="n"/>
      <c r="C164" s="35" t="n"/>
      <c r="D164" s="35" t="n"/>
    </row>
    <row r="165" ht="15" customHeight="1">
      <c r="A165" s="35" t="n"/>
      <c r="B165" s="35" t="n"/>
      <c r="C165" s="35" t="n"/>
      <c r="D165" s="35" t="n"/>
    </row>
    <row r="166" ht="15" customHeight="1">
      <c r="A166" s="35" t="n"/>
      <c r="B166" s="35" t="n"/>
      <c r="C166" s="35" t="n"/>
      <c r="D166" s="35" t="n"/>
    </row>
    <row r="167" ht="15" customHeight="1">
      <c r="A167" s="35" t="n"/>
      <c r="B167" s="35" t="n"/>
      <c r="C167" s="35" t="n"/>
      <c r="D167" s="35" t="n"/>
    </row>
    <row r="168" ht="15" customHeight="1">
      <c r="A168" s="35" t="n"/>
      <c r="B168" s="35" t="n"/>
      <c r="C168" s="35" t="n"/>
      <c r="D168" s="35" t="n"/>
    </row>
    <row r="169" ht="15" customHeight="1">
      <c r="A169" s="35" t="n"/>
      <c r="B169" s="35" t="n"/>
      <c r="C169" s="35" t="n"/>
      <c r="D169" s="35" t="n"/>
    </row>
    <row r="170" ht="15" customHeight="1">
      <c r="A170" s="35" t="n"/>
      <c r="B170" s="35" t="n"/>
      <c r="C170" s="35" t="n"/>
      <c r="D170" s="35" t="n"/>
    </row>
    <row r="171" ht="15" customHeight="1">
      <c r="A171" s="35" t="n"/>
      <c r="B171" s="35" t="n"/>
      <c r="C171" s="35" t="n"/>
      <c r="D171" s="35" t="n"/>
    </row>
    <row r="172" ht="15" customHeight="1">
      <c r="A172" s="35" t="n"/>
      <c r="B172" s="35" t="n"/>
      <c r="C172" s="35" t="n"/>
      <c r="D172" s="35" t="n"/>
    </row>
    <row r="173" ht="15" customHeight="1">
      <c r="A173" s="35" t="n"/>
      <c r="B173" s="35" t="n"/>
      <c r="C173" s="35" t="n"/>
      <c r="D173" s="35" t="n"/>
    </row>
    <row r="174" ht="15" customHeight="1">
      <c r="A174" s="35" t="n"/>
      <c r="B174" s="35" t="n"/>
      <c r="C174" s="35" t="n"/>
      <c r="D174" s="35" t="n"/>
    </row>
    <row r="175" ht="15" customHeight="1">
      <c r="A175" s="35" t="n"/>
      <c r="B175" s="35" t="n"/>
      <c r="C175" s="35" t="n"/>
      <c r="D175" s="35" t="n"/>
    </row>
    <row r="176" ht="15" customHeight="1">
      <c r="A176" s="35" t="n"/>
      <c r="B176" s="35" t="n"/>
      <c r="C176" s="35" t="n"/>
      <c r="D176" s="35" t="n"/>
    </row>
    <row r="177" ht="15" customHeight="1">
      <c r="A177" s="35" t="n"/>
      <c r="B177" s="35" t="n"/>
      <c r="C177" s="35" t="n"/>
      <c r="D177" s="35" t="n"/>
    </row>
    <row r="178" ht="15" customHeight="1">
      <c r="A178" s="35" t="n"/>
      <c r="B178" s="35" t="n"/>
      <c r="C178" s="35" t="n"/>
      <c r="D178" s="35" t="n"/>
    </row>
    <row r="179" ht="15" customHeight="1">
      <c r="A179" s="35" t="n"/>
      <c r="B179" s="35" t="n"/>
      <c r="C179" s="35" t="n"/>
      <c r="D179" s="35" t="n"/>
    </row>
    <row r="180" ht="15" customHeight="1">
      <c r="A180" s="35" t="n"/>
      <c r="B180" s="35" t="n"/>
      <c r="C180" s="35" t="n"/>
      <c r="D180" s="35" t="n"/>
    </row>
    <row r="181" ht="15" customHeight="1">
      <c r="A181" s="35" t="n"/>
      <c r="B181" s="35" t="n"/>
      <c r="C181" s="35" t="n"/>
      <c r="D181" s="35" t="n"/>
    </row>
    <row r="182" ht="15" customHeight="1">
      <c r="A182" s="35" t="n"/>
      <c r="B182" s="35" t="n"/>
      <c r="C182" s="35" t="n"/>
      <c r="D182" s="35" t="n"/>
    </row>
    <row r="183" ht="15" customHeight="1">
      <c r="A183" s="35" t="n"/>
      <c r="B183" s="35" t="n"/>
      <c r="C183" s="35" t="n"/>
      <c r="D183" s="35" t="n"/>
    </row>
    <row r="184" ht="15" customHeight="1">
      <c r="A184" s="35" t="n"/>
      <c r="B184" s="35" t="n"/>
      <c r="C184" s="35" t="n"/>
      <c r="D184" s="35" t="n"/>
    </row>
    <row r="185" ht="15" customHeight="1">
      <c r="A185" s="35" t="n"/>
      <c r="B185" s="35" t="n"/>
      <c r="C185" s="35" t="n"/>
      <c r="D185" s="35" t="n"/>
    </row>
    <row r="186" ht="15" customHeight="1">
      <c r="A186" s="35" t="n"/>
      <c r="B186" s="35" t="n"/>
      <c r="C186" s="35" t="n"/>
      <c r="D186" s="35" t="n"/>
    </row>
    <row r="187" ht="15" customHeight="1">
      <c r="A187" s="35" t="n"/>
      <c r="B187" s="35" t="n"/>
      <c r="C187" s="35" t="n"/>
      <c r="D187" s="35" t="n"/>
    </row>
    <row r="188" ht="15" customHeight="1">
      <c r="A188" s="35" t="n"/>
      <c r="B188" s="35" t="n"/>
      <c r="C188" s="35" t="n"/>
      <c r="D188" s="35" t="n"/>
    </row>
    <row r="189" ht="15" customHeight="1">
      <c r="A189" s="35" t="n"/>
      <c r="B189" s="35" t="n"/>
      <c r="C189" s="35" t="n"/>
      <c r="D189" s="35" t="n"/>
    </row>
    <row r="190" ht="15" customHeight="1">
      <c r="A190" s="35" t="n"/>
      <c r="B190" s="35" t="n"/>
      <c r="C190" s="35" t="n"/>
      <c r="D190" s="35" t="n"/>
    </row>
    <row r="191" ht="15" customHeight="1">
      <c r="A191" s="35" t="n"/>
      <c r="B191" s="35" t="n"/>
      <c r="C191" s="35" t="n"/>
      <c r="D191" s="35" t="n"/>
    </row>
    <row r="192" ht="15" customHeight="1">
      <c r="A192" s="35" t="n"/>
      <c r="B192" s="35" t="n"/>
      <c r="C192" s="35" t="n"/>
      <c r="D192" s="35" t="n"/>
    </row>
    <row r="193" ht="15" customHeight="1">
      <c r="A193" s="35" t="n"/>
      <c r="B193" s="35" t="n"/>
      <c r="C193" s="35" t="n"/>
      <c r="D193" s="35" t="n"/>
    </row>
    <row r="194" ht="15" customHeight="1">
      <c r="A194" s="35" t="n"/>
      <c r="B194" s="35" t="n"/>
      <c r="C194" s="35" t="n"/>
      <c r="D194" s="35" t="n"/>
    </row>
    <row r="195" ht="15" customHeight="1">
      <c r="A195" s="35" t="n"/>
      <c r="B195" s="35" t="n"/>
      <c r="C195" s="35" t="n"/>
      <c r="D195" s="35" t="n"/>
    </row>
    <row r="196" ht="15" customHeight="1">
      <c r="A196" s="35" t="n"/>
      <c r="B196" s="35" t="n"/>
      <c r="C196" s="35" t="n"/>
      <c r="D196" s="35" t="n"/>
    </row>
    <row r="197" ht="15" customHeight="1">
      <c r="A197" s="35" t="n"/>
      <c r="B197" s="35" t="n"/>
      <c r="C197" s="35" t="n"/>
      <c r="D197" s="35" t="n"/>
    </row>
    <row r="198" ht="15" customHeight="1">
      <c r="A198" s="35" t="n"/>
      <c r="B198" s="35" t="n"/>
      <c r="C198" s="35" t="n"/>
      <c r="D198" s="35" t="n"/>
    </row>
    <row r="199" ht="15" customHeight="1">
      <c r="A199" s="35" t="n"/>
      <c r="B199" s="35" t="n"/>
      <c r="C199" s="35" t="n"/>
      <c r="D199" s="35" t="n"/>
    </row>
    <row r="200" ht="15" customHeight="1">
      <c r="A200" s="35" t="n"/>
      <c r="B200" s="35" t="n"/>
      <c r="C200" s="35" t="n"/>
      <c r="D200" s="35" t="n"/>
    </row>
    <row r="201" ht="15" customHeight="1">
      <c r="A201" s="35" t="n"/>
      <c r="B201" s="35" t="n"/>
      <c r="C201" s="35" t="n"/>
      <c r="D201" s="35" t="n"/>
    </row>
    <row r="202" ht="15" customHeight="1">
      <c r="A202" s="35" t="n"/>
      <c r="B202" s="35" t="n"/>
      <c r="C202" s="35" t="n"/>
      <c r="D202" s="35" t="n"/>
    </row>
    <row r="203" ht="15" customHeight="1">
      <c r="A203" s="35" t="n"/>
      <c r="B203" s="35" t="n"/>
      <c r="C203" s="35" t="n"/>
      <c r="D203" s="35" t="n"/>
    </row>
    <row r="204" ht="15" customHeight="1">
      <c r="A204" s="35" t="n"/>
      <c r="B204" s="35" t="n"/>
      <c r="C204" s="35" t="n"/>
      <c r="D204" s="35" t="n"/>
    </row>
    <row r="205" ht="15" customHeight="1">
      <c r="A205" s="35" t="n"/>
      <c r="B205" s="35" t="n"/>
      <c r="C205" s="35" t="n"/>
      <c r="D205" s="35" t="n"/>
    </row>
    <row r="206" ht="15" customHeight="1">
      <c r="A206" s="35" t="n"/>
      <c r="B206" s="35" t="n"/>
      <c r="C206" s="35" t="n"/>
      <c r="D206" s="35" t="n"/>
    </row>
    <row r="207" ht="15" customHeight="1">
      <c r="A207" s="35" t="n"/>
      <c r="B207" s="35" t="n"/>
      <c r="C207" s="35" t="n"/>
      <c r="D207" s="35" t="n"/>
    </row>
    <row r="208" ht="15" customHeight="1">
      <c r="A208" s="35" t="n"/>
      <c r="B208" s="35" t="n"/>
      <c r="C208" s="35" t="n"/>
      <c r="D208" s="35" t="n"/>
    </row>
    <row r="209" ht="15" customHeight="1">
      <c r="A209" s="35" t="n"/>
      <c r="B209" s="35" t="n"/>
      <c r="C209" s="35" t="n"/>
      <c r="D209" s="35" t="n"/>
    </row>
    <row r="210" ht="15" customHeight="1">
      <c r="A210" s="35" t="n"/>
      <c r="B210" s="35" t="n"/>
      <c r="C210" s="35" t="n"/>
      <c r="D210" s="35" t="n"/>
    </row>
    <row r="211" ht="15" customHeight="1">
      <c r="A211" s="35" t="n"/>
      <c r="B211" s="35" t="n"/>
      <c r="C211" s="35" t="n"/>
      <c r="D211" s="35" t="n"/>
    </row>
    <row r="212" ht="15" customHeight="1">
      <c r="A212" s="35" t="n"/>
      <c r="B212" s="35" t="n"/>
      <c r="C212" s="35" t="n"/>
      <c r="D212" s="35" t="n"/>
    </row>
    <row r="213" ht="15" customHeight="1">
      <c r="A213" s="35" t="n"/>
      <c r="B213" s="35" t="n"/>
      <c r="C213" s="35" t="n"/>
      <c r="D213" s="35" t="n"/>
    </row>
    <row r="214" ht="15" customHeight="1">
      <c r="A214" s="35" t="n"/>
      <c r="B214" s="35" t="n"/>
      <c r="C214" s="35" t="n"/>
      <c r="D214" s="35" t="n"/>
    </row>
    <row r="215" ht="15" customHeight="1">
      <c r="A215" s="35" t="n"/>
      <c r="B215" s="35" t="n"/>
      <c r="C215" s="35" t="n"/>
      <c r="D215" s="35" t="n"/>
    </row>
    <row r="216" ht="15" customHeight="1">
      <c r="A216" s="35" t="n"/>
      <c r="B216" s="35" t="n"/>
      <c r="C216" s="35" t="n"/>
      <c r="D216" s="35" t="n"/>
    </row>
    <row r="217" ht="15" customHeight="1">
      <c r="A217" s="35" t="n"/>
      <c r="B217" s="35" t="n"/>
      <c r="C217" s="35" t="n"/>
      <c r="D217" s="35" t="n"/>
    </row>
    <row r="218" ht="15" customHeight="1">
      <c r="A218" s="35" t="n"/>
      <c r="B218" s="35" t="n"/>
      <c r="C218" s="35" t="n"/>
      <c r="D218" s="35" t="n"/>
    </row>
    <row r="219" ht="15" customHeight="1">
      <c r="A219" s="35" t="n"/>
      <c r="B219" s="35" t="n"/>
      <c r="C219" s="35" t="n"/>
      <c r="D219" s="35" t="n"/>
    </row>
    <row r="220" ht="15" customHeight="1">
      <c r="A220" s="35" t="n"/>
      <c r="B220" s="35" t="n"/>
      <c r="C220" s="35" t="n"/>
      <c r="D220" s="35" t="n"/>
    </row>
    <row r="221" ht="15" customHeight="1">
      <c r="A221" s="35" t="n"/>
      <c r="B221" s="35" t="n"/>
      <c r="C221" s="35" t="n"/>
      <c r="D221" s="35" t="n"/>
    </row>
    <row r="222" ht="15" customHeight="1">
      <c r="A222" s="35" t="n"/>
      <c r="B222" s="35" t="n"/>
      <c r="C222" s="35" t="n"/>
      <c r="D222" s="35" t="n"/>
    </row>
    <row r="223" ht="15" customHeight="1">
      <c r="A223" s="35" t="n"/>
      <c r="B223" s="35" t="n"/>
      <c r="C223" s="35" t="n"/>
      <c r="D223" s="35" t="n"/>
    </row>
    <row r="224" ht="15" customHeight="1">
      <c r="A224" s="35" t="n"/>
      <c r="B224" s="35" t="n"/>
      <c r="C224" s="35" t="n"/>
      <c r="D224" s="35" t="n"/>
    </row>
    <row r="225" ht="15" customHeight="1">
      <c r="A225" s="35" t="n"/>
      <c r="B225" s="35" t="n"/>
      <c r="C225" s="35" t="n"/>
      <c r="D225" s="35" t="n"/>
    </row>
    <row r="226" ht="15" customHeight="1">
      <c r="A226" s="35" t="n"/>
      <c r="B226" s="35" t="n"/>
      <c r="C226" s="35" t="n"/>
      <c r="D226" s="35" t="n"/>
    </row>
    <row r="227" ht="15" customHeight="1">
      <c r="A227" s="35" t="n"/>
      <c r="B227" s="35" t="n"/>
      <c r="C227" s="35" t="n"/>
      <c r="D227" s="35" t="n"/>
    </row>
    <row r="228" ht="15" customHeight="1">
      <c r="A228" s="35" t="n"/>
      <c r="B228" s="35" t="n"/>
      <c r="C228" s="35" t="n"/>
      <c r="D228" s="35" t="n"/>
    </row>
    <row r="229" ht="15" customHeight="1">
      <c r="A229" s="35" t="n"/>
      <c r="B229" s="35" t="n"/>
      <c r="C229" s="35" t="n"/>
      <c r="D229" s="35" t="n"/>
    </row>
    <row r="230" ht="15" customHeight="1">
      <c r="A230" s="35" t="n"/>
      <c r="B230" s="35" t="n"/>
      <c r="C230" s="35" t="n"/>
      <c r="D230" s="35" t="n"/>
    </row>
    <row r="231" ht="15" customHeight="1">
      <c r="A231" s="35" t="n"/>
      <c r="B231" s="35" t="n"/>
      <c r="C231" s="35" t="n"/>
      <c r="D231" s="35" t="n"/>
    </row>
    <row r="232" ht="15" customHeight="1">
      <c r="A232" s="35" t="n"/>
      <c r="B232" s="35" t="n"/>
      <c r="C232" s="35" t="n"/>
      <c r="D232" s="35" t="n"/>
    </row>
    <row r="233" ht="15" customHeight="1">
      <c r="A233" s="35" t="n"/>
      <c r="B233" s="35" t="n"/>
      <c r="C233" s="35" t="n"/>
      <c r="D233" s="35" t="n"/>
    </row>
    <row r="234" ht="15" customHeight="1">
      <c r="A234" s="35" t="n"/>
      <c r="B234" s="35" t="n"/>
      <c r="C234" s="35" t="n"/>
      <c r="D234" s="35" t="n"/>
    </row>
    <row r="235" ht="15" customHeight="1">
      <c r="A235" s="35" t="n"/>
      <c r="B235" s="35" t="n"/>
      <c r="C235" s="35" t="n"/>
      <c r="D235" s="35" t="n"/>
    </row>
    <row r="236" ht="15" customHeight="1">
      <c r="A236" s="35" t="n"/>
      <c r="B236" s="35" t="n"/>
      <c r="C236" s="35" t="n"/>
      <c r="D236" s="35" t="n"/>
    </row>
    <row r="237" ht="15" customHeight="1">
      <c r="A237" s="35" t="n"/>
      <c r="B237" s="35" t="n"/>
      <c r="C237" s="35" t="n"/>
      <c r="D237" s="35" t="n"/>
    </row>
    <row r="238" ht="15" customHeight="1">
      <c r="A238" s="35" t="n"/>
      <c r="B238" s="35" t="n"/>
      <c r="C238" s="35" t="n"/>
      <c r="D238" s="35" t="n"/>
    </row>
    <row r="239" ht="15" customHeight="1">
      <c r="A239" s="35" t="n"/>
      <c r="B239" s="35" t="n"/>
      <c r="C239" s="35" t="n"/>
      <c r="D239" s="35" t="n"/>
    </row>
    <row r="240" ht="15" customHeight="1">
      <c r="A240" s="35" t="n"/>
      <c r="B240" s="35" t="n"/>
      <c r="C240" s="35" t="n"/>
      <c r="D240" s="35" t="n"/>
    </row>
    <row r="241" ht="15" customHeight="1">
      <c r="A241" s="35" t="n"/>
      <c r="B241" s="35" t="n"/>
      <c r="C241" s="35" t="n"/>
      <c r="D241" s="35" t="n"/>
    </row>
    <row r="242" ht="15" customHeight="1">
      <c r="A242" s="35" t="n"/>
      <c r="B242" s="35" t="n"/>
      <c r="C242" s="35" t="n"/>
      <c r="D242" s="35" t="n"/>
    </row>
    <row r="243" ht="15" customHeight="1">
      <c r="A243" s="35" t="n"/>
      <c r="B243" s="35" t="n"/>
      <c r="C243" s="35" t="n"/>
      <c r="D243" s="35" t="n"/>
    </row>
    <row r="244" ht="15" customHeight="1">
      <c r="A244" s="35" t="n"/>
      <c r="B244" s="35" t="n"/>
      <c r="C244" s="35" t="n"/>
      <c r="D244" s="35" t="n"/>
    </row>
    <row r="245" ht="15" customHeight="1">
      <c r="A245" s="35" t="n"/>
      <c r="B245" s="35" t="n"/>
      <c r="C245" s="35" t="n"/>
      <c r="D245" s="35" t="n"/>
    </row>
    <row r="246" ht="15" customHeight="1">
      <c r="A246" s="35" t="n"/>
      <c r="B246" s="35" t="n"/>
      <c r="C246" s="35" t="n"/>
      <c r="D246" s="35" t="n"/>
    </row>
    <row r="247" ht="15" customHeight="1">
      <c r="A247" s="35" t="n"/>
      <c r="B247" s="35" t="n"/>
      <c r="C247" s="35" t="n"/>
      <c r="D247" s="35" t="n"/>
    </row>
    <row r="248" ht="15" customHeight="1">
      <c r="A248" s="35" t="n"/>
      <c r="B248" s="35" t="n"/>
      <c r="C248" s="35" t="n"/>
      <c r="D248" s="35" t="n"/>
    </row>
    <row r="249" ht="15" customHeight="1">
      <c r="A249" s="35" t="n"/>
      <c r="B249" s="35" t="n"/>
      <c r="C249" s="35" t="n"/>
      <c r="D249" s="35" t="n"/>
    </row>
    <row r="250" ht="15" customHeight="1">
      <c r="A250" s="35" t="n"/>
      <c r="B250" s="35" t="n"/>
      <c r="C250" s="35" t="n"/>
      <c r="D250" s="35" t="n"/>
    </row>
    <row r="251" ht="15" customHeight="1">
      <c r="A251" s="35" t="n"/>
      <c r="B251" s="35" t="n"/>
      <c r="C251" s="35" t="n"/>
      <c r="D251" s="35" t="n"/>
    </row>
    <row r="252" ht="15" customHeight="1">
      <c r="A252" s="35" t="n"/>
      <c r="B252" s="35" t="n"/>
      <c r="C252" s="35" t="n"/>
      <c r="D252" s="35" t="n"/>
    </row>
    <row r="253" ht="15" customHeight="1">
      <c r="A253" s="35" t="n"/>
      <c r="B253" s="35" t="n"/>
      <c r="C253" s="35" t="n"/>
      <c r="D253" s="35" t="n"/>
    </row>
    <row r="254" ht="15" customHeight="1">
      <c r="A254" s="35" t="n"/>
      <c r="B254" s="35" t="n"/>
      <c r="C254" s="35" t="n"/>
      <c r="D254" s="35" t="n"/>
    </row>
    <row r="255" ht="15" customHeight="1">
      <c r="A255" s="35" t="n"/>
      <c r="B255" s="35" t="n"/>
      <c r="C255" s="35" t="n"/>
      <c r="D255" s="35" t="n"/>
    </row>
    <row r="256" ht="15" customHeight="1">
      <c r="A256" s="35" t="n"/>
      <c r="B256" s="35" t="n"/>
      <c r="C256" s="35" t="n"/>
      <c r="D256" s="35" t="n"/>
    </row>
    <row r="257" ht="15" customHeight="1">
      <c r="A257" s="35" t="n"/>
      <c r="B257" s="35" t="n"/>
      <c r="C257" s="35" t="n"/>
      <c r="D257" s="35" t="n"/>
    </row>
    <row r="258" ht="15" customHeight="1">
      <c r="A258" s="35" t="n"/>
      <c r="B258" s="35" t="n"/>
      <c r="C258" s="35" t="n"/>
      <c r="D258" s="35" t="n"/>
    </row>
    <row r="259" ht="15" customHeight="1">
      <c r="A259" s="35" t="n"/>
      <c r="B259" s="35" t="n"/>
      <c r="C259" s="35" t="n"/>
      <c r="D259" s="35" t="n"/>
    </row>
    <row r="260" ht="15" customHeight="1">
      <c r="A260" s="35" t="n"/>
      <c r="B260" s="35" t="n"/>
      <c r="C260" s="35" t="n"/>
      <c r="D260" s="35" t="n"/>
    </row>
    <row r="261" ht="15" customHeight="1">
      <c r="A261" s="35" t="n"/>
      <c r="B261" s="35" t="n"/>
      <c r="C261" s="35" t="n"/>
      <c r="D261" s="35" t="n"/>
    </row>
    <row r="262" ht="15" customHeight="1">
      <c r="A262" s="35" t="n"/>
      <c r="B262" s="35" t="n"/>
      <c r="C262" s="35" t="n"/>
      <c r="D262" s="35" t="n"/>
    </row>
    <row r="263" ht="15" customHeight="1">
      <c r="A263" s="35" t="n"/>
      <c r="B263" s="35" t="n"/>
      <c r="C263" s="35" t="n"/>
      <c r="D263" s="35" t="n"/>
    </row>
    <row r="264" ht="15" customHeight="1">
      <c r="A264" s="35" t="n"/>
      <c r="B264" s="35" t="n"/>
      <c r="C264" s="35" t="n"/>
      <c r="D264" s="35" t="n"/>
    </row>
    <row r="265" ht="15" customHeight="1">
      <c r="A265" s="35" t="n"/>
      <c r="B265" s="35" t="n"/>
      <c r="C265" s="35" t="n"/>
      <c r="D265" s="35" t="n"/>
    </row>
    <row r="266" ht="15" customHeight="1">
      <c r="A266" s="35" t="n"/>
      <c r="B266" s="35" t="n"/>
      <c r="C266" s="35" t="n"/>
      <c r="D266" s="35" t="n"/>
    </row>
    <row r="267" ht="15" customHeight="1">
      <c r="A267" s="35" t="n"/>
      <c r="B267" s="35" t="n"/>
      <c r="C267" s="35" t="n"/>
      <c r="D267" s="35" t="n"/>
    </row>
    <row r="268" ht="15" customHeight="1">
      <c r="A268" s="35" t="n"/>
      <c r="B268" s="35" t="n"/>
      <c r="C268" s="35" t="n"/>
      <c r="D268" s="35" t="n"/>
    </row>
    <row r="269" ht="15" customHeight="1">
      <c r="A269" s="35" t="n"/>
      <c r="B269" s="35" t="n"/>
      <c r="C269" s="35" t="n"/>
      <c r="D269" s="35" t="n"/>
    </row>
    <row r="270" ht="15" customHeight="1">
      <c r="A270" s="35" t="n"/>
      <c r="B270" s="35" t="n"/>
      <c r="C270" s="35" t="n"/>
      <c r="D270" s="35" t="n"/>
    </row>
    <row r="271" ht="15" customHeight="1">
      <c r="A271" s="35" t="n"/>
      <c r="B271" s="35" t="n"/>
      <c r="C271" s="35" t="n"/>
      <c r="D271" s="35" t="n"/>
    </row>
    <row r="272" ht="15" customHeight="1">
      <c r="A272" s="35" t="n"/>
      <c r="B272" s="35" t="n"/>
      <c r="C272" s="35" t="n"/>
      <c r="D272" s="35" t="n"/>
    </row>
    <row r="273" ht="15" customHeight="1">
      <c r="A273" s="35" t="n"/>
      <c r="B273" s="35" t="n"/>
      <c r="C273" s="35" t="n"/>
      <c r="D273" s="35" t="n"/>
    </row>
    <row r="274" ht="15" customHeight="1">
      <c r="A274" s="35" t="n"/>
      <c r="B274" s="35" t="n"/>
      <c r="C274" s="35" t="n"/>
      <c r="D274" s="35" t="n"/>
    </row>
    <row r="275" ht="15" customHeight="1">
      <c r="A275" s="35" t="n"/>
      <c r="B275" s="35" t="n"/>
      <c r="C275" s="35" t="n"/>
      <c r="D275" s="35" t="n"/>
    </row>
    <row r="276" ht="15" customHeight="1">
      <c r="A276" s="35" t="n"/>
      <c r="B276" s="35" t="n"/>
      <c r="C276" s="35" t="n"/>
      <c r="D276" s="35" t="n"/>
    </row>
    <row r="277" ht="15" customHeight="1">
      <c r="A277" s="35" t="n"/>
      <c r="B277" s="35" t="n"/>
      <c r="C277" s="35" t="n"/>
      <c r="D277" s="35" t="n"/>
    </row>
    <row r="278" ht="15" customHeight="1">
      <c r="A278" s="35" t="n"/>
      <c r="B278" s="35" t="n"/>
      <c r="C278" s="35" t="n"/>
      <c r="D278" s="35" t="n"/>
    </row>
    <row r="279" ht="15" customHeight="1">
      <c r="A279" s="35" t="n"/>
      <c r="B279" s="35" t="n"/>
      <c r="C279" s="35" t="n"/>
      <c r="D279" s="35" t="n"/>
    </row>
    <row r="280" ht="15" customHeight="1">
      <c r="A280" s="35" t="n"/>
      <c r="B280" s="35" t="n"/>
      <c r="C280" s="35" t="n"/>
      <c r="D280" s="35" t="n"/>
    </row>
    <row r="281" ht="15" customHeight="1">
      <c r="A281" s="35" t="n"/>
      <c r="B281" s="35" t="n"/>
      <c r="C281" s="35" t="n"/>
      <c r="D281" s="35" t="n"/>
    </row>
    <row r="282" ht="15" customHeight="1">
      <c r="A282" s="35" t="n"/>
      <c r="B282" s="35" t="n"/>
      <c r="C282" s="35" t="n"/>
      <c r="D282" s="35" t="n"/>
    </row>
    <row r="283" ht="15" customHeight="1">
      <c r="A283" s="35" t="n"/>
      <c r="B283" s="35" t="n"/>
      <c r="C283" s="35" t="n"/>
      <c r="D283" s="35" t="n"/>
    </row>
    <row r="284" ht="15" customHeight="1">
      <c r="A284" s="35" t="n"/>
      <c r="B284" s="35" t="n"/>
      <c r="C284" s="35" t="n"/>
      <c r="D284" s="35" t="n"/>
    </row>
    <row r="285" ht="15" customHeight="1">
      <c r="A285" s="35" t="n"/>
      <c r="B285" s="35" t="n"/>
      <c r="C285" s="35" t="n"/>
      <c r="D285" s="35" t="n"/>
    </row>
    <row r="286" ht="15" customHeight="1">
      <c r="A286" s="35" t="n"/>
      <c r="B286" s="35" t="n"/>
      <c r="C286" s="35" t="n"/>
      <c r="D286" s="35" t="n"/>
    </row>
    <row r="287" ht="15" customHeight="1">
      <c r="A287" s="35" t="n"/>
      <c r="B287" s="35" t="n"/>
      <c r="C287" s="35" t="n"/>
      <c r="D287" s="35" t="n"/>
    </row>
    <row r="288" ht="15" customHeight="1">
      <c r="A288" s="35" t="n"/>
      <c r="B288" s="35" t="n"/>
      <c r="C288" s="35" t="n"/>
      <c r="D288" s="35" t="n"/>
    </row>
    <row r="289" ht="15" customHeight="1">
      <c r="A289" s="35" t="n"/>
      <c r="B289" s="35" t="n"/>
      <c r="C289" s="35" t="n"/>
      <c r="D289" s="35" t="n"/>
    </row>
    <row r="290" ht="15" customHeight="1">
      <c r="A290" s="35" t="n"/>
      <c r="B290" s="35" t="n"/>
      <c r="C290" s="35" t="n"/>
      <c r="D290" s="35" t="n"/>
    </row>
    <row r="291" ht="15" customHeight="1">
      <c r="A291" s="35" t="n"/>
      <c r="B291" s="35" t="n"/>
      <c r="C291" s="35" t="n"/>
      <c r="D291" s="35" t="n"/>
    </row>
    <row r="292" ht="15" customHeight="1">
      <c r="A292" s="35" t="n"/>
      <c r="B292" s="35" t="n"/>
      <c r="C292" s="35" t="n"/>
      <c r="D292" s="35" t="n"/>
    </row>
    <row r="293" ht="15" customHeight="1">
      <c r="A293" s="35" t="n"/>
      <c r="B293" s="35" t="n"/>
      <c r="C293" s="35" t="n"/>
      <c r="D293" s="35" t="n"/>
    </row>
    <row r="294" ht="15" customHeight="1">
      <c r="A294" s="35" t="n"/>
      <c r="B294" s="35" t="n"/>
      <c r="C294" s="35" t="n"/>
      <c r="D294" s="35" t="n"/>
    </row>
    <row r="295" ht="15" customHeight="1">
      <c r="A295" s="35" t="n"/>
      <c r="B295" s="35" t="n"/>
      <c r="C295" s="35" t="n"/>
      <c r="D295" s="35" t="n"/>
    </row>
    <row r="296" ht="15" customHeight="1">
      <c r="A296" s="35" t="n"/>
      <c r="B296" s="35" t="n"/>
      <c r="C296" s="35" t="n"/>
      <c r="D296" s="35" t="n"/>
    </row>
    <row r="297" ht="15" customHeight="1">
      <c r="A297" s="35" t="n"/>
      <c r="B297" s="35" t="n"/>
      <c r="C297" s="35" t="n"/>
      <c r="D297" s="35" t="n"/>
    </row>
    <row r="298" ht="15" customHeight="1">
      <c r="A298" s="35" t="n"/>
      <c r="B298" s="35" t="n"/>
      <c r="C298" s="35" t="n"/>
      <c r="D298" s="35" t="n"/>
    </row>
    <row r="299" ht="15" customHeight="1">
      <c r="A299" s="35" t="n"/>
      <c r="B299" s="35" t="n"/>
      <c r="C299" s="35" t="n"/>
      <c r="D299" s="35" t="n"/>
    </row>
    <row r="300" ht="15" customHeight="1">
      <c r="A300" s="35" t="n"/>
      <c r="B300" s="35" t="n"/>
      <c r="C300" s="35" t="n"/>
      <c r="D300" s="35" t="n"/>
    </row>
    <row r="301" ht="15" customHeight="1">
      <c r="A301" s="35" t="n"/>
      <c r="B301" s="35" t="n"/>
      <c r="C301" s="35" t="n"/>
      <c r="D301" s="35" t="n"/>
    </row>
    <row r="302" ht="15" customHeight="1">
      <c r="A302" s="35" t="n"/>
      <c r="B302" s="35" t="n"/>
      <c r="C302" s="35" t="n"/>
      <c r="D302" s="35" t="n"/>
    </row>
    <row r="303" ht="15" customHeight="1">
      <c r="A303" s="35" t="n"/>
      <c r="B303" s="35" t="n"/>
      <c r="C303" s="35" t="n"/>
      <c r="D303" s="35" t="n"/>
    </row>
    <row r="304" ht="15" customHeight="1">
      <c r="A304" s="35" t="n"/>
      <c r="B304" s="35" t="n"/>
      <c r="C304" s="35" t="n"/>
      <c r="D304" s="35" t="n"/>
    </row>
    <row r="305" ht="15" customHeight="1">
      <c r="A305" s="35" t="n"/>
      <c r="B305" s="35" t="n"/>
      <c r="C305" s="35" t="n"/>
      <c r="D305" s="35" t="n"/>
    </row>
    <row r="306" ht="15" customHeight="1">
      <c r="A306" s="35" t="n"/>
      <c r="B306" s="35" t="n"/>
      <c r="C306" s="35" t="n"/>
      <c r="D306" s="35" t="n"/>
    </row>
    <row r="307" ht="15" customHeight="1">
      <c r="A307" s="35" t="n"/>
      <c r="B307" s="35" t="n"/>
      <c r="C307" s="35" t="n"/>
      <c r="D307" s="35" t="n"/>
    </row>
    <row r="308" ht="15" customHeight="1">
      <c r="A308" s="35" t="n"/>
      <c r="B308" s="35" t="n"/>
      <c r="C308" s="35" t="n"/>
      <c r="D308" s="35" t="n"/>
    </row>
    <row r="309" ht="15" customHeight="1">
      <c r="A309" s="35" t="n"/>
      <c r="B309" s="35" t="n"/>
      <c r="C309" s="35" t="n"/>
      <c r="D309" s="35" t="n"/>
    </row>
    <row r="310" ht="15" customHeight="1">
      <c r="A310" s="35" t="n"/>
      <c r="B310" s="35" t="n"/>
      <c r="C310" s="35" t="n"/>
      <c r="D310" s="35" t="n"/>
    </row>
    <row r="311" ht="15" customHeight="1">
      <c r="A311" s="35" t="n"/>
      <c r="B311" s="35" t="n"/>
      <c r="C311" s="35" t="n"/>
      <c r="D311" s="35" t="n"/>
    </row>
    <row r="312" ht="15" customHeight="1">
      <c r="A312" s="35" t="n"/>
      <c r="B312" s="35" t="n"/>
      <c r="C312" s="35" t="n"/>
      <c r="D312" s="35" t="n"/>
    </row>
    <row r="313" ht="15" customHeight="1">
      <c r="A313" s="35" t="n"/>
      <c r="B313" s="35" t="n"/>
      <c r="C313" s="35" t="n"/>
      <c r="D313" s="35" t="n"/>
    </row>
    <row r="314" ht="15" customHeight="1">
      <c r="A314" s="35" t="n"/>
      <c r="B314" s="35" t="n"/>
      <c r="C314" s="35" t="n"/>
      <c r="D314" s="35" t="n"/>
    </row>
    <row r="315" ht="15" customHeight="1">
      <c r="A315" s="35" t="n"/>
      <c r="B315" s="35" t="n"/>
      <c r="C315" s="35" t="n"/>
      <c r="D315" s="35" t="n"/>
    </row>
    <row r="316" ht="15" customHeight="1">
      <c r="A316" s="35" t="n"/>
      <c r="B316" s="35" t="n"/>
      <c r="C316" s="35" t="n"/>
      <c r="D316" s="35" t="n"/>
    </row>
    <row r="317" ht="15" customHeight="1">
      <c r="A317" s="35" t="n"/>
      <c r="B317" s="35" t="n"/>
      <c r="C317" s="35" t="n"/>
      <c r="D317" s="35" t="n"/>
    </row>
    <row r="318" ht="15" customHeight="1">
      <c r="A318" s="35" t="n"/>
      <c r="B318" s="35" t="n"/>
      <c r="C318" s="35" t="n"/>
      <c r="D318" s="35" t="n"/>
    </row>
    <row r="319" ht="15" customHeight="1">
      <c r="A319" s="35" t="n"/>
      <c r="B319" s="35" t="n"/>
      <c r="C319" s="35" t="n"/>
      <c r="D319" s="35" t="n"/>
    </row>
    <row r="320" ht="15" customHeight="1">
      <c r="A320" s="35" t="n"/>
      <c r="B320" s="35" t="n"/>
      <c r="C320" s="35" t="n"/>
      <c r="D320" s="35" t="n"/>
    </row>
    <row r="321" ht="15" customHeight="1">
      <c r="A321" s="35" t="n"/>
      <c r="B321" s="35" t="n"/>
      <c r="C321" s="35" t="n"/>
      <c r="D321" s="35" t="n"/>
    </row>
    <row r="322" ht="15" customHeight="1">
      <c r="A322" s="35" t="n"/>
      <c r="B322" s="35" t="n"/>
      <c r="C322" s="35" t="n"/>
      <c r="D322" s="35" t="n"/>
    </row>
    <row r="323" ht="15" customHeight="1">
      <c r="A323" s="35" t="n"/>
      <c r="B323" s="35" t="n"/>
      <c r="C323" s="35" t="n"/>
      <c r="D323" s="35" t="n"/>
    </row>
    <row r="324" ht="15" customHeight="1">
      <c r="A324" s="35" t="n"/>
      <c r="B324" s="35" t="n"/>
      <c r="C324" s="35" t="n"/>
      <c r="D324" s="35" t="n"/>
    </row>
    <row r="325" ht="15" customHeight="1">
      <c r="A325" s="35" t="n"/>
      <c r="B325" s="35" t="n"/>
      <c r="C325" s="35" t="n"/>
      <c r="D325" s="35" t="n"/>
    </row>
    <row r="326" ht="15" customHeight="1">
      <c r="A326" s="35" t="n"/>
      <c r="B326" s="35" t="n"/>
      <c r="C326" s="35" t="n"/>
      <c r="D326" s="35" t="n"/>
    </row>
    <row r="327" ht="15" customHeight="1">
      <c r="A327" s="35" t="n"/>
      <c r="B327" s="35" t="n"/>
      <c r="C327" s="35" t="n"/>
      <c r="D327" s="35" t="n"/>
    </row>
    <row r="328" ht="15" customHeight="1">
      <c r="A328" s="35" t="n"/>
      <c r="B328" s="35" t="n"/>
      <c r="C328" s="35" t="n"/>
      <c r="D328" s="35" t="n"/>
    </row>
    <row r="329" ht="15" customHeight="1">
      <c r="A329" s="35" t="n"/>
      <c r="B329" s="35" t="n"/>
      <c r="C329" s="35" t="n"/>
      <c r="D329" s="35" t="n"/>
    </row>
    <row r="330" ht="15" customHeight="1">
      <c r="A330" s="35" t="n"/>
      <c r="B330" s="35" t="n"/>
      <c r="C330" s="35" t="n"/>
      <c r="D330" s="35" t="n"/>
    </row>
    <row r="331" ht="15" customHeight="1">
      <c r="A331" s="35" t="n"/>
      <c r="B331" s="35" t="n"/>
      <c r="C331" s="35" t="n"/>
      <c r="D331" s="35" t="n"/>
    </row>
    <row r="332" ht="15" customHeight="1">
      <c r="A332" s="35" t="n"/>
      <c r="B332" s="35" t="n"/>
      <c r="C332" s="35" t="n"/>
      <c r="D332" s="35" t="n"/>
    </row>
    <row r="333" ht="15" customHeight="1">
      <c r="A333" s="35" t="n"/>
      <c r="B333" s="35" t="n"/>
      <c r="C333" s="35" t="n"/>
      <c r="D333" s="35" t="n"/>
    </row>
    <row r="334" ht="15" customHeight="1">
      <c r="A334" s="35" t="n"/>
      <c r="B334" s="35" t="n"/>
      <c r="C334" s="35" t="n"/>
      <c r="D334" s="35" t="n"/>
    </row>
    <row r="335" ht="15" customHeight="1">
      <c r="A335" s="35" t="n"/>
      <c r="B335" s="35" t="n"/>
      <c r="C335" s="35" t="n"/>
      <c r="D335" s="35" t="n"/>
    </row>
    <row r="336" ht="15" customHeight="1">
      <c r="A336" s="35" t="n"/>
      <c r="B336" s="35" t="n"/>
      <c r="C336" s="35" t="n"/>
      <c r="D336" s="35" t="n"/>
    </row>
    <row r="337" ht="15" customHeight="1">
      <c r="A337" s="35" t="n"/>
      <c r="B337" s="35" t="n"/>
      <c r="C337" s="35" t="n"/>
      <c r="D337" s="35" t="n"/>
    </row>
    <row r="338" ht="15" customHeight="1">
      <c r="A338" s="35" t="n"/>
      <c r="B338" s="35" t="n"/>
      <c r="C338" s="35" t="n"/>
      <c r="D338" s="35" t="n"/>
    </row>
    <row r="339" ht="15" customHeight="1">
      <c r="A339" s="35" t="n"/>
      <c r="B339" s="35" t="n"/>
      <c r="C339" s="35" t="n"/>
      <c r="D339" s="35" t="n"/>
    </row>
    <row r="340" ht="15" customHeight="1">
      <c r="A340" s="35" t="n"/>
      <c r="B340" s="35" t="n"/>
      <c r="C340" s="35" t="n"/>
      <c r="D340" s="35" t="n"/>
    </row>
    <row r="341" ht="15" customHeight="1">
      <c r="A341" s="35" t="n"/>
      <c r="B341" s="35" t="n"/>
      <c r="C341" s="35" t="n"/>
      <c r="D341" s="35" t="n"/>
    </row>
    <row r="342" ht="15" customHeight="1">
      <c r="A342" s="35" t="n"/>
      <c r="B342" s="35" t="n"/>
      <c r="C342" s="35" t="n"/>
      <c r="D342" s="35" t="n"/>
    </row>
    <row r="343" ht="15" customHeight="1">
      <c r="A343" s="35" t="n"/>
      <c r="B343" s="35" t="n"/>
      <c r="C343" s="35" t="n"/>
      <c r="D343" s="35" t="n"/>
    </row>
    <row r="344" ht="15" customHeight="1">
      <c r="A344" s="35" t="n"/>
      <c r="B344" s="35" t="n"/>
      <c r="C344" s="35" t="n"/>
      <c r="D344" s="35" t="n"/>
    </row>
    <row r="345" ht="15" customHeight="1">
      <c r="A345" s="35" t="n"/>
      <c r="B345" s="35" t="n"/>
      <c r="C345" s="35" t="n"/>
      <c r="D345" s="35" t="n"/>
    </row>
    <row r="346" ht="15" customHeight="1">
      <c r="A346" s="35" t="n"/>
      <c r="B346" s="35" t="n"/>
      <c r="C346" s="35" t="n"/>
      <c r="D346" s="35" t="n"/>
    </row>
    <row r="347" ht="15" customHeight="1">
      <c r="A347" s="35" t="n"/>
      <c r="B347" s="35" t="n"/>
      <c r="C347" s="35" t="n"/>
      <c r="D347" s="35" t="n"/>
    </row>
    <row r="348" ht="15" customHeight="1">
      <c r="A348" s="35" t="n"/>
      <c r="B348" s="35" t="n"/>
      <c r="C348" s="35" t="n"/>
      <c r="D348" s="35" t="n"/>
    </row>
    <row r="349" ht="15" customHeight="1">
      <c r="A349" s="35" t="n"/>
      <c r="B349" s="35" t="n"/>
      <c r="C349" s="35" t="n"/>
      <c r="D349" s="35" t="n"/>
    </row>
    <row r="350" ht="15" customHeight="1">
      <c r="A350" s="35" t="n"/>
      <c r="B350" s="35" t="n"/>
      <c r="C350" s="35" t="n"/>
      <c r="D350" s="35" t="n"/>
    </row>
    <row r="351" ht="15" customHeight="1">
      <c r="A351" s="35" t="n"/>
      <c r="B351" s="35" t="n"/>
      <c r="C351" s="35" t="n"/>
      <c r="D351" s="35" t="n"/>
    </row>
    <row r="352" ht="15" customHeight="1">
      <c r="A352" s="35" t="n"/>
      <c r="B352" s="35" t="n"/>
      <c r="C352" s="35" t="n"/>
      <c r="D352" s="35" t="n"/>
    </row>
    <row r="353" ht="15" customHeight="1">
      <c r="A353" s="35" t="n"/>
      <c r="B353" s="35" t="n"/>
      <c r="C353" s="35" t="n"/>
      <c r="D353" s="35" t="n"/>
    </row>
    <row r="354" ht="15" customHeight="1">
      <c r="A354" s="35" t="n"/>
      <c r="B354" s="35" t="n"/>
      <c r="C354" s="35" t="n"/>
      <c r="D354" s="35" t="n"/>
    </row>
    <row r="355" ht="15" customHeight="1">
      <c r="A355" s="35" t="n"/>
      <c r="B355" s="35" t="n"/>
      <c r="C355" s="35" t="n"/>
      <c r="D355" s="35" t="n"/>
    </row>
    <row r="356" ht="15" customHeight="1">
      <c r="A356" s="35" t="n"/>
      <c r="B356" s="35" t="n"/>
      <c r="C356" s="35" t="n"/>
      <c r="D356" s="35" t="n"/>
    </row>
    <row r="357" ht="15" customHeight="1">
      <c r="A357" s="35" t="n"/>
      <c r="B357" s="35" t="n"/>
      <c r="C357" s="35" t="n"/>
      <c r="D357" s="35" t="n"/>
    </row>
    <row r="358" ht="15" customHeight="1">
      <c r="A358" s="35" t="n"/>
      <c r="B358" s="35" t="n"/>
      <c r="C358" s="35" t="n"/>
      <c r="D358" s="35" t="n"/>
    </row>
    <row r="359" ht="15" customHeight="1">
      <c r="A359" s="35" t="n"/>
      <c r="B359" s="35" t="n"/>
      <c r="C359" s="35" t="n"/>
      <c r="D359" s="35" t="n"/>
    </row>
    <row r="360" ht="15" customHeight="1">
      <c r="A360" s="35" t="n"/>
      <c r="B360" s="35" t="n"/>
      <c r="C360" s="35" t="n"/>
      <c r="D360" s="35" t="n"/>
    </row>
    <row r="361" ht="15" customHeight="1">
      <c r="A361" s="35" t="n"/>
      <c r="B361" s="35" t="n"/>
      <c r="C361" s="35" t="n"/>
      <c r="D361" s="35" t="n"/>
    </row>
    <row r="362" ht="15" customHeight="1">
      <c r="A362" s="35" t="n"/>
      <c r="B362" s="35" t="n"/>
      <c r="C362" s="35" t="n"/>
      <c r="D362" s="35" t="n"/>
    </row>
    <row r="363" ht="15" customHeight="1">
      <c r="A363" s="35" t="n"/>
      <c r="B363" s="35" t="n"/>
      <c r="C363" s="35" t="n"/>
      <c r="D363" s="35" t="n"/>
    </row>
    <row r="364" ht="15" customHeight="1">
      <c r="A364" s="35" t="n"/>
      <c r="B364" s="35" t="n"/>
      <c r="C364" s="35" t="n"/>
      <c r="D364" s="35" t="n"/>
    </row>
    <row r="365" ht="15" customHeight="1">
      <c r="A365" s="35" t="n"/>
      <c r="B365" s="35" t="n"/>
      <c r="C365" s="35" t="n"/>
      <c r="D365" s="35" t="n"/>
    </row>
    <row r="366" ht="15" customHeight="1">
      <c r="A366" s="35" t="n"/>
      <c r="B366" s="35" t="n"/>
      <c r="C366" s="35" t="n"/>
      <c r="D366" s="35" t="n"/>
    </row>
    <row r="367" ht="15" customHeight="1">
      <c r="A367" s="35" t="n"/>
      <c r="B367" s="35" t="n"/>
      <c r="C367" s="35" t="n"/>
      <c r="D367" s="35" t="n"/>
    </row>
    <row r="368" ht="15" customHeight="1">
      <c r="A368" s="35" t="n"/>
      <c r="B368" s="35" t="n"/>
      <c r="C368" s="35" t="n"/>
      <c r="D368" s="35" t="n"/>
    </row>
    <row r="369" ht="15" customHeight="1">
      <c r="A369" s="35" t="n"/>
      <c r="B369" s="35" t="n"/>
      <c r="C369" s="35" t="n"/>
      <c r="D369" s="35" t="n"/>
    </row>
    <row r="370" ht="15" customHeight="1">
      <c r="A370" s="35" t="n"/>
      <c r="B370" s="35" t="n"/>
      <c r="C370" s="35" t="n"/>
      <c r="D370" s="35" t="n"/>
    </row>
    <row r="371" ht="15" customHeight="1">
      <c r="A371" s="35" t="n"/>
      <c r="B371" s="35" t="n"/>
      <c r="C371" s="35" t="n"/>
      <c r="D371" s="35" t="n"/>
    </row>
    <row r="372" ht="15" customHeight="1">
      <c r="A372" s="35" t="n"/>
      <c r="B372" s="35" t="n"/>
      <c r="C372" s="35" t="n"/>
      <c r="D372" s="35" t="n"/>
    </row>
    <row r="373" ht="15" customHeight="1">
      <c r="A373" s="35" t="n"/>
      <c r="B373" s="35" t="n"/>
      <c r="C373" s="35" t="n"/>
      <c r="D373" s="35" t="n"/>
    </row>
    <row r="374" ht="15" customHeight="1">
      <c r="A374" s="35" t="n"/>
      <c r="B374" s="35" t="n"/>
      <c r="C374" s="35" t="n"/>
      <c r="D374" s="35" t="n"/>
    </row>
    <row r="375" ht="15" customHeight="1">
      <c r="A375" s="35" t="n"/>
      <c r="B375" s="35" t="n"/>
      <c r="C375" s="35" t="n"/>
      <c r="D375" s="35" t="n"/>
    </row>
    <row r="376" ht="15" customHeight="1">
      <c r="A376" s="35" t="n"/>
      <c r="B376" s="35" t="n"/>
      <c r="C376" s="35" t="n"/>
      <c r="D376" s="35" t="n"/>
    </row>
    <row r="377" ht="15" customHeight="1">
      <c r="A377" s="35" t="n"/>
      <c r="B377" s="35" t="n"/>
      <c r="C377" s="35" t="n"/>
      <c r="D377" s="35" t="n"/>
    </row>
    <row r="378" ht="15" customHeight="1">
      <c r="A378" s="35" t="n"/>
      <c r="B378" s="35" t="n"/>
      <c r="C378" s="35" t="n"/>
      <c r="D378" s="35" t="n"/>
    </row>
    <row r="379" ht="15" customHeight="1">
      <c r="A379" s="35" t="n"/>
      <c r="B379" s="35" t="n"/>
      <c r="C379" s="35" t="n"/>
      <c r="D379" s="35" t="n"/>
    </row>
    <row r="380" ht="15" customHeight="1">
      <c r="A380" s="35" t="n"/>
      <c r="B380" s="35" t="n"/>
      <c r="C380" s="35" t="n"/>
      <c r="D380" s="35" t="n"/>
    </row>
    <row r="381" ht="15" customHeight="1">
      <c r="A381" s="35" t="n"/>
      <c r="B381" s="35" t="n"/>
      <c r="C381" s="35" t="n"/>
      <c r="D381" s="35" t="n"/>
    </row>
    <row r="382" ht="15" customHeight="1">
      <c r="A382" s="35" t="n"/>
      <c r="B382" s="35" t="n"/>
      <c r="C382" s="35" t="n"/>
      <c r="D382" s="35" t="n"/>
    </row>
    <row r="383" ht="15" customHeight="1">
      <c r="A383" s="35" t="n"/>
      <c r="B383" s="35" t="n"/>
      <c r="C383" s="35" t="n"/>
      <c r="D383" s="35" t="n"/>
    </row>
    <row r="384" ht="15" customHeight="1">
      <c r="A384" s="35" t="n"/>
      <c r="B384" s="35" t="n"/>
      <c r="C384" s="35" t="n"/>
      <c r="D384" s="35" t="n"/>
    </row>
    <row r="385" ht="15" customHeight="1">
      <c r="A385" s="35" t="n"/>
      <c r="B385" s="35" t="n"/>
      <c r="C385" s="35" t="n"/>
      <c r="D385" s="35" t="n"/>
    </row>
    <row r="386" ht="15" customHeight="1">
      <c r="A386" s="35" t="n"/>
      <c r="B386" s="35" t="n"/>
      <c r="C386" s="35" t="n"/>
      <c r="D386" s="35" t="n"/>
    </row>
    <row r="387" ht="15" customHeight="1">
      <c r="A387" s="35" t="n"/>
      <c r="B387" s="35" t="n"/>
      <c r="C387" s="35" t="n"/>
      <c r="D387" s="35" t="n"/>
    </row>
    <row r="388" ht="15" customHeight="1">
      <c r="A388" s="35" t="n"/>
      <c r="B388" s="35" t="n"/>
      <c r="C388" s="35" t="n"/>
      <c r="D388" s="35" t="n"/>
    </row>
    <row r="389" ht="15" customHeight="1">
      <c r="A389" s="35" t="n"/>
      <c r="B389" s="35" t="n"/>
      <c r="C389" s="35" t="n"/>
      <c r="D389" s="35" t="n"/>
    </row>
    <row r="390" ht="15" customHeight="1">
      <c r="A390" s="35" t="n"/>
      <c r="B390" s="35" t="n"/>
      <c r="C390" s="35" t="n"/>
      <c r="D390" s="35" t="n"/>
    </row>
    <row r="391" ht="15" customHeight="1">
      <c r="A391" s="35" t="n"/>
      <c r="B391" s="35" t="n"/>
      <c r="C391" s="35" t="n"/>
      <c r="D391" s="35" t="n"/>
    </row>
    <row r="392" ht="15" customHeight="1">
      <c r="A392" s="35" t="n"/>
      <c r="B392" s="35" t="n"/>
      <c r="C392" s="35" t="n"/>
      <c r="D392" s="35" t="n"/>
    </row>
    <row r="393" ht="15" customHeight="1">
      <c r="A393" s="35" t="n"/>
      <c r="B393" s="35" t="n"/>
      <c r="C393" s="35" t="n"/>
      <c r="D393" s="35" t="n"/>
    </row>
    <row r="394" ht="15" customHeight="1">
      <c r="A394" s="35" t="n"/>
      <c r="B394" s="35" t="n"/>
      <c r="C394" s="35" t="n"/>
      <c r="D394" s="35" t="n"/>
    </row>
    <row r="395" ht="15" customHeight="1">
      <c r="A395" s="35" t="n"/>
      <c r="B395" s="35" t="n"/>
      <c r="C395" s="35" t="n"/>
      <c r="D395" s="35" t="n"/>
    </row>
    <row r="396" ht="15" customHeight="1">
      <c r="A396" s="35" t="n"/>
      <c r="B396" s="35" t="n"/>
      <c r="C396" s="35" t="n"/>
      <c r="D396" s="35" t="n"/>
    </row>
    <row r="397" ht="15" customHeight="1">
      <c r="A397" s="35" t="n"/>
      <c r="B397" s="35" t="n"/>
      <c r="C397" s="35" t="n"/>
      <c r="D397" s="35" t="n"/>
    </row>
    <row r="398" ht="15" customHeight="1">
      <c r="A398" s="35" t="n"/>
      <c r="B398" s="35" t="n"/>
      <c r="C398" s="35" t="n"/>
      <c r="D398" s="35" t="n"/>
    </row>
    <row r="399" ht="15" customHeight="1">
      <c r="A399" s="35" t="n"/>
      <c r="B399" s="35" t="n"/>
      <c r="C399" s="35" t="n"/>
      <c r="D399" s="35" t="n"/>
    </row>
    <row r="400" ht="15" customHeight="1">
      <c r="A400" s="35" t="n"/>
      <c r="B400" s="35" t="n"/>
      <c r="C400" s="35" t="n"/>
      <c r="D400" s="35" t="n"/>
    </row>
    <row r="401" ht="15" customHeight="1">
      <c r="A401" s="35" t="n"/>
      <c r="B401" s="35" t="n"/>
      <c r="C401" s="35" t="n"/>
      <c r="D401" s="35" t="n"/>
    </row>
    <row r="402" ht="15" customHeight="1">
      <c r="A402" s="35" t="n"/>
      <c r="B402" s="35" t="n"/>
      <c r="C402" s="35" t="n"/>
      <c r="D402" s="35" t="n"/>
    </row>
    <row r="403" ht="15" customHeight="1">
      <c r="A403" s="35" t="n"/>
      <c r="B403" s="35" t="n"/>
      <c r="C403" s="35" t="n"/>
      <c r="D403" s="35" t="n"/>
    </row>
    <row r="404" ht="15" customHeight="1">
      <c r="A404" s="35" t="n"/>
      <c r="B404" s="35" t="n"/>
      <c r="C404" s="35" t="n"/>
      <c r="D404" s="35" t="n"/>
    </row>
    <row r="405" ht="15" customHeight="1">
      <c r="A405" s="35" t="n"/>
      <c r="B405" s="35" t="n"/>
      <c r="C405" s="35" t="n"/>
      <c r="D405" s="35" t="n"/>
    </row>
    <row r="406" ht="15" customHeight="1">
      <c r="A406" s="35" t="n"/>
      <c r="B406" s="35" t="n"/>
      <c r="C406" s="35" t="n"/>
      <c r="D406" s="35" t="n"/>
    </row>
    <row r="407" ht="15" customHeight="1">
      <c r="A407" s="35" t="n"/>
      <c r="B407" s="35" t="n"/>
      <c r="C407" s="35" t="n"/>
      <c r="D407" s="35" t="n"/>
    </row>
    <row r="408" ht="15" customHeight="1">
      <c r="A408" s="35" t="n"/>
      <c r="B408" s="35" t="n"/>
      <c r="C408" s="35" t="n"/>
      <c r="D408" s="35" t="n"/>
    </row>
    <row r="409" ht="15" customHeight="1">
      <c r="A409" s="35" t="n"/>
      <c r="B409" s="35" t="n"/>
      <c r="C409" s="35" t="n"/>
      <c r="D409" s="35" t="n"/>
    </row>
    <row r="410" ht="15" customHeight="1">
      <c r="A410" s="35" t="n"/>
      <c r="B410" s="35" t="n"/>
      <c r="C410" s="35" t="n"/>
      <c r="D410" s="35" t="n"/>
    </row>
    <row r="411" ht="15" customHeight="1">
      <c r="A411" s="35" t="n"/>
      <c r="B411" s="35" t="n"/>
      <c r="C411" s="35" t="n"/>
      <c r="D411" s="35" t="n"/>
    </row>
    <row r="412" ht="15" customHeight="1">
      <c r="A412" s="35" t="n"/>
      <c r="B412" s="35" t="n"/>
      <c r="C412" s="35" t="n"/>
      <c r="D412" s="35" t="n"/>
    </row>
    <row r="413" ht="15" customHeight="1">
      <c r="A413" s="35" t="n"/>
      <c r="B413" s="35" t="n"/>
      <c r="C413" s="35" t="n"/>
      <c r="D413" s="35" t="n"/>
    </row>
    <row r="414" ht="15" customHeight="1">
      <c r="A414" s="35" t="n"/>
      <c r="B414" s="35" t="n"/>
      <c r="C414" s="35" t="n"/>
      <c r="D414" s="35" t="n"/>
    </row>
    <row r="415" ht="15" customHeight="1">
      <c r="A415" s="35" t="n"/>
      <c r="B415" s="35" t="n"/>
      <c r="C415" s="35" t="n"/>
      <c r="D415" s="35" t="n"/>
    </row>
    <row r="416" ht="15" customHeight="1">
      <c r="A416" s="35" t="n"/>
      <c r="B416" s="35" t="n"/>
      <c r="C416" s="35" t="n"/>
      <c r="D416" s="35" t="n"/>
    </row>
    <row r="417" ht="15" customHeight="1">
      <c r="A417" s="35" t="n"/>
      <c r="B417" s="35" t="n"/>
      <c r="C417" s="35" t="n"/>
      <c r="D417" s="35" t="n"/>
    </row>
    <row r="418" ht="15" customHeight="1">
      <c r="A418" s="35" t="n"/>
      <c r="B418" s="35" t="n"/>
      <c r="C418" s="35" t="n"/>
      <c r="D418" s="35" t="n"/>
    </row>
    <row r="419" ht="15" customHeight="1">
      <c r="A419" s="35" t="n"/>
      <c r="B419" s="35" t="n"/>
      <c r="C419" s="35" t="n"/>
      <c r="D419" s="35" t="n"/>
    </row>
    <row r="420" ht="15" customHeight="1">
      <c r="A420" s="35" t="n"/>
      <c r="B420" s="35" t="n"/>
      <c r="C420" s="35" t="n"/>
      <c r="D420" s="35" t="n"/>
    </row>
    <row r="421" ht="15" customHeight="1">
      <c r="A421" s="35" t="n"/>
      <c r="B421" s="35" t="n"/>
      <c r="C421" s="35" t="n"/>
      <c r="D421" s="35" t="n"/>
    </row>
    <row r="422" ht="15" customHeight="1">
      <c r="A422" s="35" t="n"/>
      <c r="B422" s="35" t="n"/>
      <c r="C422" s="35" t="n"/>
      <c r="D422" s="35" t="n"/>
    </row>
    <row r="423" ht="15" customHeight="1">
      <c r="A423" s="35" t="n"/>
      <c r="B423" s="35" t="n"/>
      <c r="C423" s="35" t="n"/>
      <c r="D423" s="35" t="n"/>
    </row>
    <row r="424" ht="15" customHeight="1">
      <c r="A424" s="35" t="n"/>
      <c r="B424" s="35" t="n"/>
      <c r="C424" s="35" t="n"/>
      <c r="D424" s="35" t="n"/>
    </row>
    <row r="425" ht="15" customHeight="1">
      <c r="A425" s="35" t="n"/>
      <c r="B425" s="35" t="n"/>
      <c r="C425" s="35" t="n"/>
      <c r="D425" s="35" t="n"/>
    </row>
    <row r="426" ht="15" customHeight="1">
      <c r="A426" s="35" t="n"/>
      <c r="B426" s="35" t="n"/>
      <c r="C426" s="35" t="n"/>
      <c r="D426" s="35" t="n"/>
    </row>
    <row r="427" ht="15" customHeight="1">
      <c r="A427" s="35" t="n"/>
      <c r="B427" s="35" t="n"/>
      <c r="C427" s="35" t="n"/>
      <c r="D427" s="35" t="n"/>
    </row>
    <row r="428" ht="15" customHeight="1">
      <c r="A428" s="35" t="n"/>
      <c r="B428" s="35" t="n"/>
      <c r="C428" s="35" t="n"/>
      <c r="D428" s="35" t="n"/>
    </row>
    <row r="429" ht="15" customHeight="1">
      <c r="A429" s="35" t="n"/>
      <c r="B429" s="35" t="n"/>
      <c r="C429" s="35" t="n"/>
      <c r="D429" s="35" t="n"/>
    </row>
    <row r="430" ht="15" customHeight="1">
      <c r="A430" s="35" t="n"/>
      <c r="B430" s="35" t="n"/>
      <c r="C430" s="35" t="n"/>
      <c r="D430" s="35" t="n"/>
    </row>
    <row r="431" ht="15" customHeight="1">
      <c r="A431" s="35" t="n"/>
      <c r="B431" s="35" t="n"/>
      <c r="C431" s="35" t="n"/>
      <c r="D431" s="35" t="n"/>
    </row>
    <row r="432" ht="15" customHeight="1">
      <c r="A432" s="35" t="n"/>
      <c r="B432" s="35" t="n"/>
      <c r="C432" s="35" t="n"/>
      <c r="D432" s="35" t="n"/>
    </row>
    <row r="433" ht="15" customHeight="1">
      <c r="A433" s="35" t="n"/>
      <c r="B433" s="35" t="n"/>
      <c r="C433" s="35" t="n"/>
      <c r="D433" s="35" t="n"/>
    </row>
    <row r="434" ht="15" customHeight="1">
      <c r="A434" s="35" t="n"/>
      <c r="B434" s="35" t="n"/>
      <c r="C434" s="35" t="n"/>
      <c r="D434" s="35" t="n"/>
    </row>
    <row r="435" ht="15" customHeight="1">
      <c r="A435" s="35" t="n"/>
      <c r="B435" s="35" t="n"/>
      <c r="C435" s="35" t="n"/>
      <c r="D435" s="35" t="n"/>
    </row>
    <row r="436" ht="15" customHeight="1">
      <c r="A436" s="35" t="n"/>
      <c r="B436" s="35" t="n"/>
      <c r="C436" s="35" t="n"/>
      <c r="D436" s="35" t="n"/>
    </row>
    <row r="437" ht="15" customHeight="1">
      <c r="A437" s="35" t="n"/>
      <c r="B437" s="35" t="n"/>
      <c r="C437" s="35" t="n"/>
      <c r="D437" s="35" t="n"/>
    </row>
    <row r="438" ht="15" customHeight="1">
      <c r="A438" s="35" t="n"/>
      <c r="B438" s="35" t="n"/>
      <c r="C438" s="35" t="n"/>
      <c r="D438" s="35" t="n"/>
    </row>
    <row r="439" ht="15" customHeight="1">
      <c r="A439" s="35" t="n"/>
      <c r="B439" s="35" t="n"/>
      <c r="C439" s="35" t="n"/>
      <c r="D439" s="35" t="n"/>
    </row>
    <row r="440" ht="15" customHeight="1">
      <c r="A440" s="35" t="n"/>
      <c r="B440" s="35" t="n"/>
      <c r="C440" s="35" t="n"/>
      <c r="D440" s="35" t="n"/>
    </row>
    <row r="441" ht="15" customHeight="1">
      <c r="A441" s="35" t="n"/>
      <c r="B441" s="35" t="n"/>
      <c r="C441" s="35" t="n"/>
      <c r="D441" s="35" t="n"/>
    </row>
    <row r="442" ht="15" customHeight="1">
      <c r="A442" s="35" t="n"/>
      <c r="B442" s="35" t="n"/>
      <c r="C442" s="35" t="n"/>
      <c r="D442" s="35" t="n"/>
    </row>
    <row r="443" ht="15" customHeight="1">
      <c r="A443" s="35" t="n"/>
      <c r="B443" s="35" t="n"/>
      <c r="C443" s="35" t="n"/>
      <c r="D443" s="35" t="n"/>
    </row>
    <row r="444" ht="15" customHeight="1">
      <c r="A444" s="35" t="n"/>
      <c r="B444" s="35" t="n"/>
      <c r="C444" s="35" t="n"/>
      <c r="D444" s="35" t="n"/>
    </row>
    <row r="445" ht="15" customHeight="1">
      <c r="A445" s="35" t="n"/>
      <c r="B445" s="35" t="n"/>
      <c r="C445" s="35" t="n"/>
      <c r="D445" s="35" t="n"/>
    </row>
    <row r="446" ht="15" customHeight="1">
      <c r="A446" s="35" t="n"/>
      <c r="B446" s="35" t="n"/>
      <c r="C446" s="35" t="n"/>
      <c r="D446" s="35" t="n"/>
    </row>
    <row r="447" ht="15" customHeight="1">
      <c r="A447" s="35" t="n"/>
      <c r="B447" s="35" t="n"/>
      <c r="C447" s="35" t="n"/>
      <c r="D447" s="35" t="n"/>
    </row>
    <row r="448" ht="15" customHeight="1">
      <c r="A448" s="35" t="n"/>
      <c r="B448" s="35" t="n"/>
      <c r="C448" s="35" t="n"/>
      <c r="D448" s="35" t="n"/>
    </row>
    <row r="449" ht="15" customHeight="1">
      <c r="A449" s="35" t="n"/>
      <c r="B449" s="35" t="n"/>
      <c r="C449" s="35" t="n"/>
      <c r="D449" s="35" t="n"/>
    </row>
    <row r="450" ht="15" customHeight="1">
      <c r="A450" s="35" t="n"/>
      <c r="B450" s="35" t="n"/>
      <c r="C450" s="35" t="n"/>
      <c r="D450" s="35" t="n"/>
    </row>
    <row r="451" ht="15" customHeight="1">
      <c r="A451" s="35" t="n"/>
      <c r="B451" s="35" t="n"/>
      <c r="C451" s="35" t="n"/>
      <c r="D451" s="35" t="n"/>
    </row>
    <row r="452" ht="15" customHeight="1">
      <c r="A452" s="35" t="n"/>
      <c r="B452" s="35" t="n"/>
      <c r="C452" s="35" t="n"/>
      <c r="D452" s="35" t="n"/>
    </row>
    <row r="453" ht="15" customHeight="1">
      <c r="A453" s="35" t="n"/>
      <c r="B453" s="35" t="n"/>
      <c r="C453" s="35" t="n"/>
      <c r="D453" s="35" t="n"/>
    </row>
    <row r="454" ht="15" customHeight="1">
      <c r="A454" s="35" t="n"/>
      <c r="B454" s="35" t="n"/>
      <c r="C454" s="35" t="n"/>
      <c r="D454" s="35" t="n"/>
    </row>
    <row r="455" ht="15" customHeight="1">
      <c r="A455" s="35" t="n"/>
      <c r="B455" s="35" t="n"/>
      <c r="C455" s="35" t="n"/>
      <c r="D455" s="35" t="n"/>
    </row>
    <row r="456" ht="15" customHeight="1">
      <c r="A456" s="35" t="n"/>
      <c r="B456" s="35" t="n"/>
      <c r="C456" s="35" t="n"/>
      <c r="D456" s="35" t="n"/>
    </row>
    <row r="457" ht="15" customHeight="1">
      <c r="A457" s="35" t="n"/>
      <c r="B457" s="35" t="n"/>
      <c r="C457" s="35" t="n"/>
      <c r="D457" s="35" t="n"/>
    </row>
    <row r="458" ht="15" customHeight="1">
      <c r="A458" s="35" t="n"/>
      <c r="B458" s="35" t="n"/>
      <c r="C458" s="35" t="n"/>
      <c r="D458" s="35" t="n"/>
    </row>
    <row r="459" ht="15" customHeight="1">
      <c r="A459" s="35" t="n"/>
      <c r="B459" s="35" t="n"/>
      <c r="C459" s="35" t="n"/>
      <c r="D459" s="35" t="n"/>
    </row>
    <row r="460" ht="15" customHeight="1">
      <c r="A460" s="35" t="n"/>
      <c r="B460" s="35" t="n"/>
      <c r="C460" s="35" t="n"/>
      <c r="D460" s="35" t="n"/>
    </row>
    <row r="461" ht="15" customHeight="1">
      <c r="A461" s="35" t="n"/>
      <c r="B461" s="35" t="n"/>
      <c r="C461" s="35" t="n"/>
      <c r="D461" s="35" t="n"/>
    </row>
    <row r="462" ht="15" customHeight="1">
      <c r="A462" s="35" t="n"/>
      <c r="B462" s="35" t="n"/>
      <c r="C462" s="35" t="n"/>
      <c r="D462" s="35" t="n"/>
    </row>
    <row r="463" ht="15" customHeight="1">
      <c r="A463" s="35" t="n"/>
      <c r="B463" s="35" t="n"/>
      <c r="C463" s="35" t="n"/>
      <c r="D463" s="35" t="n"/>
    </row>
    <row r="464" ht="15" customHeight="1">
      <c r="A464" s="35" t="n"/>
      <c r="B464" s="35" t="n"/>
      <c r="C464" s="35" t="n"/>
      <c r="D464" s="35" t="n"/>
    </row>
    <row r="465" ht="15" customHeight="1">
      <c r="A465" s="35" t="n"/>
      <c r="B465" s="35" t="n"/>
      <c r="C465" s="35" t="n"/>
      <c r="D465" s="35" t="n"/>
    </row>
    <row r="466" ht="15" customHeight="1">
      <c r="A466" s="35" t="n"/>
      <c r="B466" s="35" t="n"/>
      <c r="C466" s="35" t="n"/>
      <c r="D466" s="35" t="n"/>
    </row>
    <row r="467" ht="15" customHeight="1">
      <c r="A467" s="35" t="n"/>
      <c r="B467" s="35" t="n"/>
      <c r="C467" s="35" t="n"/>
      <c r="D467" s="35" t="n"/>
    </row>
    <row r="468" ht="15" customHeight="1">
      <c r="A468" s="35" t="n"/>
      <c r="B468" s="35" t="n"/>
      <c r="C468" s="35" t="n"/>
      <c r="D468" s="35" t="n"/>
    </row>
    <row r="469" ht="15" customHeight="1">
      <c r="A469" s="35" t="n"/>
      <c r="B469" s="35" t="n"/>
      <c r="C469" s="35" t="n"/>
      <c r="D469" s="35" t="n"/>
    </row>
    <row r="470" ht="15" customHeight="1">
      <c r="A470" s="35" t="n"/>
      <c r="B470" s="35" t="n"/>
      <c r="C470" s="35" t="n"/>
      <c r="D470" s="35" t="n"/>
    </row>
    <row r="471" ht="15" customHeight="1">
      <c r="A471" s="35" t="n"/>
      <c r="B471" s="35" t="n"/>
      <c r="C471" s="35" t="n"/>
      <c r="D471" s="35" t="n"/>
    </row>
    <row r="472" ht="15" customHeight="1">
      <c r="A472" s="35" t="n"/>
      <c r="B472" s="35" t="n"/>
      <c r="C472" s="35" t="n"/>
      <c r="D472" s="35" t="n"/>
    </row>
    <row r="473" ht="15" customHeight="1">
      <c r="A473" s="35" t="n"/>
      <c r="B473" s="35" t="n"/>
      <c r="C473" s="35" t="n"/>
      <c r="D473" s="35" t="n"/>
    </row>
    <row r="474" ht="15" customHeight="1">
      <c r="A474" s="35" t="n"/>
      <c r="B474" s="35" t="n"/>
      <c r="C474" s="35" t="n"/>
      <c r="D474" s="35" t="n"/>
    </row>
    <row r="475" ht="15" customHeight="1">
      <c r="A475" s="35" t="n"/>
      <c r="B475" s="35" t="n"/>
      <c r="C475" s="35" t="n"/>
      <c r="D475" s="35" t="n"/>
    </row>
    <row r="476" ht="15" customHeight="1">
      <c r="A476" s="35" t="n"/>
      <c r="B476" s="35" t="n"/>
      <c r="C476" s="35" t="n"/>
      <c r="D476" s="35" t="n"/>
    </row>
    <row r="477" ht="15" customHeight="1">
      <c r="A477" s="35" t="n"/>
      <c r="B477" s="35" t="n"/>
      <c r="C477" s="35" t="n"/>
      <c r="D477" s="35" t="n"/>
    </row>
    <row r="478" ht="15" customHeight="1">
      <c r="A478" s="35" t="n"/>
      <c r="B478" s="35" t="n"/>
      <c r="C478" s="35" t="n"/>
      <c r="D478" s="35" t="n"/>
    </row>
    <row r="479" ht="15" customHeight="1">
      <c r="A479" s="35" t="n"/>
      <c r="B479" s="35" t="n"/>
      <c r="C479" s="35" t="n"/>
      <c r="D479" s="35" t="n"/>
    </row>
    <row r="480" ht="15" customHeight="1">
      <c r="A480" s="35" t="n"/>
      <c r="B480" s="35" t="n"/>
      <c r="C480" s="35" t="n"/>
      <c r="D480" s="35" t="n"/>
    </row>
    <row r="481" ht="15" customHeight="1">
      <c r="A481" s="35" t="n"/>
      <c r="B481" s="35" t="n"/>
      <c r="C481" s="35" t="n"/>
      <c r="D481" s="35" t="n"/>
    </row>
    <row r="482" ht="15" customHeight="1">
      <c r="A482" s="35" t="n"/>
      <c r="B482" s="35" t="n"/>
      <c r="C482" s="35" t="n"/>
      <c r="D482" s="35" t="n"/>
    </row>
    <row r="483" ht="15" customHeight="1">
      <c r="A483" s="35" t="n"/>
      <c r="B483" s="35" t="n"/>
      <c r="C483" s="35" t="n"/>
      <c r="D483" s="35" t="n"/>
    </row>
    <row r="484" ht="15" customHeight="1">
      <c r="A484" s="35" t="n"/>
      <c r="B484" s="35" t="n"/>
      <c r="C484" s="35" t="n"/>
      <c r="D484" s="35" t="n"/>
    </row>
    <row r="485" ht="15" customHeight="1">
      <c r="A485" s="35" t="n"/>
      <c r="B485" s="35" t="n"/>
      <c r="C485" s="35" t="n"/>
      <c r="D485" s="35" t="n"/>
    </row>
    <row r="486" ht="15" customHeight="1">
      <c r="A486" s="35" t="n"/>
      <c r="B486" s="35" t="n"/>
      <c r="C486" s="35" t="n"/>
      <c r="D486" s="35" t="n"/>
    </row>
    <row r="487" ht="15" customHeight="1">
      <c r="A487" s="35" t="n"/>
      <c r="B487" s="35" t="n"/>
      <c r="C487" s="35" t="n"/>
      <c r="D487" s="35" t="n"/>
    </row>
    <row r="488" ht="15" customHeight="1">
      <c r="A488" s="35" t="n"/>
      <c r="B488" s="35" t="n"/>
      <c r="C488" s="35" t="n"/>
      <c r="D488" s="35" t="n"/>
    </row>
    <row r="489" ht="15" customHeight="1">
      <c r="A489" s="35" t="n"/>
      <c r="B489" s="35" t="n"/>
      <c r="C489" s="35" t="n"/>
      <c r="D489" s="35" t="n"/>
    </row>
    <row r="490" ht="15" customHeight="1">
      <c r="A490" s="35" t="n"/>
      <c r="B490" s="35" t="n"/>
      <c r="C490" s="35" t="n"/>
      <c r="D490" s="35" t="n"/>
    </row>
    <row r="491" ht="15" customHeight="1">
      <c r="A491" s="35" t="n"/>
      <c r="B491" s="35" t="n"/>
      <c r="C491" s="35" t="n"/>
      <c r="D491" s="35" t="n"/>
    </row>
    <row r="492" ht="15" customHeight="1">
      <c r="A492" s="35" t="n"/>
      <c r="B492" s="35" t="n"/>
      <c r="C492" s="35" t="n"/>
      <c r="D492" s="35" t="n"/>
    </row>
    <row r="493" ht="15" customHeight="1">
      <c r="A493" s="35" t="n"/>
      <c r="B493" s="35" t="n"/>
      <c r="C493" s="35" t="n"/>
      <c r="D493" s="35" t="n"/>
    </row>
    <row r="494" ht="15" customHeight="1">
      <c r="A494" s="35" t="n"/>
      <c r="B494" s="35" t="n"/>
      <c r="C494" s="35" t="n"/>
      <c r="D494" s="35" t="n"/>
    </row>
    <row r="495" ht="15" customHeight="1">
      <c r="A495" s="35" t="n"/>
      <c r="B495" s="35" t="n"/>
      <c r="C495" s="35" t="n"/>
      <c r="D495" s="35" t="n"/>
    </row>
    <row r="496" ht="15" customHeight="1">
      <c r="A496" s="35" t="n"/>
      <c r="B496" s="35" t="n"/>
      <c r="C496" s="35" t="n"/>
      <c r="D496" s="35" t="n"/>
    </row>
    <row r="497" ht="15" customHeight="1">
      <c r="A497" s="35" t="n"/>
      <c r="B497" s="35" t="n"/>
      <c r="C497" s="35" t="n"/>
      <c r="D497" s="35" t="n"/>
    </row>
    <row r="498" ht="15" customHeight="1">
      <c r="A498" s="35" t="n"/>
      <c r="B498" s="35" t="n"/>
      <c r="C498" s="35" t="n"/>
      <c r="D498" s="35" t="n"/>
    </row>
    <row r="499" ht="15" customHeight="1">
      <c r="A499" s="35" t="n"/>
      <c r="B499" s="35" t="n"/>
      <c r="C499" s="35" t="n"/>
      <c r="D499" s="35" t="n"/>
    </row>
    <row r="500" ht="15" customHeight="1">
      <c r="A500" s="35" t="n"/>
      <c r="B500" s="35" t="n"/>
      <c r="C500" s="35" t="n"/>
      <c r="D500" s="35" t="n"/>
    </row>
    <row r="501" ht="15" customHeight="1">
      <c r="A501" s="35" t="n"/>
      <c r="B501" s="35" t="n"/>
      <c r="C501" s="35" t="n"/>
      <c r="D501" s="35" t="n"/>
    </row>
    <row r="502" ht="15" customHeight="1">
      <c r="A502" s="35" t="n"/>
      <c r="B502" s="35" t="n"/>
      <c r="C502" s="35" t="n"/>
      <c r="D502" s="35" t="n"/>
    </row>
    <row r="503" ht="15" customHeight="1">
      <c r="A503" s="35" t="n"/>
      <c r="B503" s="35" t="n"/>
      <c r="C503" s="35" t="n"/>
      <c r="D503" s="35" t="n"/>
    </row>
    <row r="504" ht="15" customHeight="1">
      <c r="A504" s="35" t="n"/>
      <c r="B504" s="35" t="n"/>
      <c r="C504" s="35" t="n"/>
      <c r="D504" s="35" t="n"/>
    </row>
    <row r="505" ht="15" customHeight="1">
      <c r="A505" s="35" t="n"/>
      <c r="B505" s="35" t="n"/>
      <c r="C505" s="35" t="n"/>
      <c r="D505" s="35" t="n"/>
    </row>
    <row r="506" ht="15" customHeight="1">
      <c r="A506" s="35" t="n"/>
      <c r="B506" s="35" t="n"/>
      <c r="C506" s="35" t="n"/>
      <c r="D506" s="35" t="n"/>
    </row>
    <row r="507" ht="15" customHeight="1">
      <c r="A507" s="35" t="n"/>
      <c r="B507" s="35" t="n"/>
      <c r="C507" s="35" t="n"/>
      <c r="D507" s="35" t="n"/>
    </row>
    <row r="508" ht="15" customHeight="1">
      <c r="A508" s="35" t="n"/>
      <c r="B508" s="35" t="n"/>
      <c r="C508" s="35" t="n"/>
      <c r="D508" s="35" t="n"/>
    </row>
    <row r="509" ht="15" customHeight="1">
      <c r="A509" s="35" t="n"/>
      <c r="B509" s="35" t="n"/>
      <c r="C509" s="35" t="n"/>
      <c r="D509" s="35" t="n"/>
    </row>
    <row r="510" ht="15" customHeight="1">
      <c r="A510" s="35" t="n"/>
      <c r="B510" s="35" t="n"/>
      <c r="C510" s="35" t="n"/>
      <c r="D510" s="35" t="n"/>
    </row>
    <row r="511" ht="15" customHeight="1">
      <c r="A511" s="35" t="n"/>
      <c r="B511" s="35" t="n"/>
      <c r="C511" s="35" t="n"/>
      <c r="D511" s="35" t="n"/>
    </row>
    <row r="512" ht="15" customHeight="1">
      <c r="A512" s="35" t="n"/>
      <c r="B512" s="35" t="n"/>
      <c r="C512" s="35" t="n"/>
      <c r="D512" s="35" t="n"/>
    </row>
    <row r="513" ht="15" customHeight="1">
      <c r="A513" s="35" t="n"/>
      <c r="B513" s="35" t="n"/>
      <c r="C513" s="35" t="n"/>
      <c r="D513" s="35" t="n"/>
    </row>
    <row r="514" ht="15" customHeight="1">
      <c r="A514" s="35" t="n"/>
      <c r="B514" s="35" t="n"/>
      <c r="C514" s="35" t="n"/>
      <c r="D514" s="35" t="n"/>
    </row>
    <row r="515" ht="15" customHeight="1">
      <c r="A515" s="35" t="n"/>
      <c r="B515" s="35" t="n"/>
      <c r="C515" s="35" t="n"/>
      <c r="D515" s="35" t="n"/>
    </row>
    <row r="516" ht="15" customHeight="1">
      <c r="A516" s="35" t="n"/>
      <c r="B516" s="35" t="n"/>
      <c r="C516" s="35" t="n"/>
      <c r="D516" s="35" t="n"/>
    </row>
    <row r="517" ht="15" customHeight="1">
      <c r="A517" s="35" t="n"/>
      <c r="B517" s="35" t="n"/>
      <c r="C517" s="35" t="n"/>
      <c r="D517" s="35" t="n"/>
    </row>
    <row r="518" ht="15" customHeight="1">
      <c r="A518" s="35" t="n"/>
      <c r="B518" s="35" t="n"/>
      <c r="C518" s="35" t="n"/>
      <c r="D518" s="35" t="n"/>
    </row>
    <row r="519" ht="15" customHeight="1">
      <c r="A519" s="35" t="n"/>
      <c r="B519" s="35" t="n"/>
      <c r="C519" s="35" t="n"/>
      <c r="D519" s="35" t="n"/>
    </row>
    <row r="520" ht="15" customHeight="1">
      <c r="A520" s="35" t="n"/>
      <c r="B520" s="35" t="n"/>
      <c r="C520" s="35" t="n"/>
      <c r="D520" s="35" t="n"/>
    </row>
    <row r="521" ht="15" customHeight="1">
      <c r="A521" s="35" t="n"/>
      <c r="B521" s="35" t="n"/>
      <c r="C521" s="35" t="n"/>
      <c r="D521" s="35" t="n"/>
    </row>
    <row r="522" ht="15" customHeight="1">
      <c r="A522" s="35" t="n"/>
      <c r="B522" s="35" t="n"/>
      <c r="C522" s="35" t="n"/>
      <c r="D522" s="35" t="n"/>
    </row>
    <row r="523" ht="15" customHeight="1">
      <c r="A523" s="35" t="n"/>
      <c r="B523" s="35" t="n"/>
      <c r="C523" s="35" t="n"/>
      <c r="D523" s="35" t="n"/>
    </row>
    <row r="524" ht="15" customHeight="1">
      <c r="A524" s="35" t="n"/>
      <c r="B524" s="35" t="n"/>
      <c r="C524" s="35" t="n"/>
      <c r="D524" s="35" t="n"/>
    </row>
    <row r="525" ht="15" customHeight="1">
      <c r="A525" s="35" t="n"/>
      <c r="B525" s="35" t="n"/>
      <c r="C525" s="35" t="n"/>
      <c r="D525" s="35" t="n"/>
    </row>
    <row r="526" ht="15" customHeight="1">
      <c r="A526" s="35" t="n"/>
      <c r="B526" s="35" t="n"/>
      <c r="C526" s="35" t="n"/>
      <c r="D526" s="35" t="n"/>
    </row>
    <row r="527" ht="15" customHeight="1">
      <c r="A527" s="35" t="n"/>
      <c r="B527" s="35" t="n"/>
      <c r="C527" s="35" t="n"/>
      <c r="D527" s="35" t="n"/>
    </row>
    <row r="528" ht="15" customHeight="1">
      <c r="A528" s="35" t="n"/>
      <c r="B528" s="35" t="n"/>
      <c r="C528" s="35" t="n"/>
      <c r="D528" s="35" t="n"/>
    </row>
    <row r="529" ht="15" customHeight="1">
      <c r="A529" s="35" t="n"/>
      <c r="B529" s="35" t="n"/>
      <c r="C529" s="35" t="n"/>
      <c r="D529" s="35" t="n"/>
    </row>
    <row r="530" ht="15" customHeight="1">
      <c r="A530" s="35" t="n"/>
      <c r="B530" s="35" t="n"/>
      <c r="C530" s="35" t="n"/>
      <c r="D530" s="35" t="n"/>
    </row>
    <row r="531" ht="15" customHeight="1">
      <c r="A531" s="35" t="n"/>
      <c r="B531" s="35" t="n"/>
      <c r="C531" s="35" t="n"/>
      <c r="D531" s="35" t="n"/>
    </row>
    <row r="532" ht="15" customHeight="1">
      <c r="A532" s="35" t="n"/>
      <c r="B532" s="35" t="n"/>
      <c r="C532" s="35" t="n"/>
      <c r="D532" s="35" t="n"/>
    </row>
    <row r="533" ht="15" customHeight="1">
      <c r="A533" s="35" t="n"/>
      <c r="B533" s="35" t="n"/>
      <c r="C533" s="35" t="n"/>
      <c r="D533" s="35" t="n"/>
    </row>
    <row r="534" ht="15" customHeight="1">
      <c r="A534" s="35" t="n"/>
      <c r="B534" s="35" t="n"/>
      <c r="C534" s="35" t="n"/>
      <c r="D534" s="35" t="n"/>
    </row>
    <row r="535" ht="15" customHeight="1">
      <c r="A535" s="35" t="n"/>
      <c r="B535" s="35" t="n"/>
      <c r="C535" s="35" t="n"/>
      <c r="D535" s="35" t="n"/>
    </row>
    <row r="536" ht="15" customHeight="1">
      <c r="A536" s="35" t="n"/>
      <c r="B536" s="35" t="n"/>
      <c r="C536" s="35" t="n"/>
      <c r="D536" s="35" t="n"/>
    </row>
    <row r="537" ht="15" customHeight="1">
      <c r="A537" s="35" t="n"/>
      <c r="B537" s="35" t="n"/>
      <c r="C537" s="35" t="n"/>
      <c r="D537" s="35" t="n"/>
    </row>
    <row r="538" ht="15" customHeight="1">
      <c r="A538" s="35" t="n"/>
      <c r="B538" s="35" t="n"/>
      <c r="C538" s="35" t="n"/>
      <c r="D538" s="35" t="n"/>
    </row>
    <row r="539" ht="15" customHeight="1">
      <c r="A539" s="35" t="n"/>
      <c r="B539" s="35" t="n"/>
      <c r="C539" s="35" t="n"/>
      <c r="D539" s="35" t="n"/>
    </row>
    <row r="540" ht="15" customHeight="1">
      <c r="A540" s="35" t="n"/>
      <c r="B540" s="35" t="n"/>
      <c r="C540" s="35" t="n"/>
      <c r="D540" s="35" t="n"/>
    </row>
    <row r="541" ht="15" customHeight="1">
      <c r="A541" s="35" t="n"/>
      <c r="B541" s="35" t="n"/>
      <c r="C541" s="35" t="n"/>
      <c r="D541" s="35" t="n"/>
    </row>
    <row r="542" ht="15" customHeight="1">
      <c r="A542" s="35" t="n"/>
      <c r="B542" s="35" t="n"/>
      <c r="C542" s="35" t="n"/>
      <c r="D542" s="35" t="n"/>
    </row>
    <row r="543" ht="15" customHeight="1">
      <c r="A543" s="35" t="n"/>
      <c r="B543" s="35" t="n"/>
      <c r="C543" s="35" t="n"/>
      <c r="D543" s="35" t="n"/>
    </row>
    <row r="544" ht="15" customHeight="1">
      <c r="A544" s="35" t="n"/>
      <c r="B544" s="35" t="n"/>
      <c r="C544" s="35" t="n"/>
      <c r="D544" s="35" t="n"/>
    </row>
    <row r="545" ht="15" customHeight="1">
      <c r="A545" s="35" t="n"/>
      <c r="B545" s="35" t="n"/>
      <c r="C545" s="35" t="n"/>
      <c r="D545" s="35" t="n"/>
    </row>
    <row r="546" ht="15" customHeight="1">
      <c r="A546" s="35" t="n"/>
      <c r="B546" s="35" t="n"/>
      <c r="C546" s="35" t="n"/>
      <c r="D546" s="35" t="n"/>
    </row>
    <row r="547" ht="15" customHeight="1">
      <c r="A547" s="35" t="n"/>
      <c r="B547" s="35" t="n"/>
      <c r="C547" s="35" t="n"/>
      <c r="D547" s="35" t="n"/>
    </row>
    <row r="548" ht="15" customHeight="1">
      <c r="A548" s="35" t="n"/>
      <c r="B548" s="35" t="n"/>
      <c r="C548" s="35" t="n"/>
      <c r="D548" s="35" t="n"/>
    </row>
    <row r="549" ht="15" customHeight="1">
      <c r="A549" s="35" t="n"/>
      <c r="B549" s="35" t="n"/>
      <c r="C549" s="35" t="n"/>
      <c r="D549" s="35" t="n"/>
    </row>
    <row r="550" ht="15" customHeight="1">
      <c r="A550" s="35" t="n"/>
      <c r="B550" s="35" t="n"/>
      <c r="C550" s="35" t="n"/>
      <c r="D550" s="35" t="n"/>
    </row>
    <row r="551" ht="15" customHeight="1">
      <c r="A551" s="35" t="n"/>
      <c r="B551" s="35" t="n"/>
      <c r="C551" s="35" t="n"/>
      <c r="D551" s="35" t="n"/>
    </row>
    <row r="552" ht="15" customHeight="1">
      <c r="A552" s="35" t="n"/>
      <c r="B552" s="35" t="n"/>
      <c r="C552" s="35" t="n"/>
      <c r="D552" s="35" t="n"/>
    </row>
    <row r="553" ht="15" customHeight="1">
      <c r="A553" s="35" t="n"/>
      <c r="B553" s="35" t="n"/>
      <c r="C553" s="35" t="n"/>
      <c r="D553" s="35" t="n"/>
    </row>
    <row r="554" ht="15" customHeight="1">
      <c r="A554" s="35" t="n"/>
      <c r="B554" s="35" t="n"/>
      <c r="C554" s="35" t="n"/>
      <c r="D554" s="35" t="n"/>
    </row>
    <row r="555" ht="15" customHeight="1">
      <c r="A555" s="35" t="n"/>
      <c r="B555" s="35" t="n"/>
      <c r="C555" s="35" t="n"/>
      <c r="D555" s="35" t="n"/>
    </row>
    <row r="556" ht="15" customHeight="1">
      <c r="A556" s="35" t="n"/>
      <c r="B556" s="35" t="n"/>
      <c r="C556" s="35" t="n"/>
      <c r="D556" s="35" t="n"/>
    </row>
    <row r="557" ht="15" customHeight="1">
      <c r="A557" s="35" t="n"/>
      <c r="B557" s="35" t="n"/>
      <c r="C557" s="35" t="n"/>
      <c r="D557" s="35" t="n"/>
    </row>
    <row r="558" ht="15" customHeight="1">
      <c r="A558" s="35" t="n"/>
      <c r="B558" s="35" t="n"/>
      <c r="C558" s="35" t="n"/>
      <c r="D558" s="35" t="n"/>
    </row>
    <row r="559" ht="15" customHeight="1">
      <c r="A559" s="35" t="n"/>
      <c r="B559" s="35" t="n"/>
      <c r="C559" s="35" t="n"/>
      <c r="D559" s="35" t="n"/>
    </row>
    <row r="560" ht="15" customHeight="1">
      <c r="A560" s="35" t="n"/>
      <c r="B560" s="35" t="n"/>
      <c r="C560" s="35" t="n"/>
      <c r="D560" s="35" t="n"/>
    </row>
    <row r="561" ht="15" customHeight="1">
      <c r="A561" s="35" t="n"/>
      <c r="B561" s="35" t="n"/>
      <c r="C561" s="35" t="n"/>
      <c r="D561" s="35" t="n"/>
    </row>
    <row r="562" ht="15" customHeight="1">
      <c r="A562" s="35" t="n"/>
      <c r="B562" s="35" t="n"/>
      <c r="C562" s="35" t="n"/>
      <c r="D562" s="35" t="n"/>
    </row>
    <row r="563" ht="15" customHeight="1">
      <c r="A563" s="35" t="n"/>
      <c r="B563" s="35" t="n"/>
      <c r="C563" s="35" t="n"/>
      <c r="D563" s="35" t="n"/>
    </row>
    <row r="564" ht="15" customHeight="1">
      <c r="A564" s="35" t="n"/>
      <c r="B564" s="35" t="n"/>
      <c r="C564" s="35" t="n"/>
      <c r="D564" s="35" t="n"/>
    </row>
    <row r="565" ht="15" customHeight="1">
      <c r="A565" s="35" t="n"/>
      <c r="B565" s="35" t="n"/>
      <c r="C565" s="35" t="n"/>
      <c r="D565" s="35" t="n"/>
    </row>
    <row r="566" ht="15" customHeight="1">
      <c r="A566" s="35" t="n"/>
      <c r="B566" s="35" t="n"/>
      <c r="C566" s="35" t="n"/>
      <c r="D566" s="35" t="n"/>
    </row>
    <row r="567" ht="15" customHeight="1">
      <c r="A567" s="35" t="n"/>
      <c r="B567" s="35" t="n"/>
      <c r="C567" s="35" t="n"/>
      <c r="D567" s="35" t="n"/>
    </row>
    <row r="568" ht="15" customHeight="1">
      <c r="A568" s="35" t="n"/>
      <c r="B568" s="35" t="n"/>
      <c r="C568" s="35" t="n"/>
      <c r="D568" s="35" t="n"/>
    </row>
    <row r="569" ht="15" customHeight="1">
      <c r="A569" s="35" t="n"/>
      <c r="B569" s="35" t="n"/>
      <c r="C569" s="35" t="n"/>
      <c r="D569" s="35" t="n"/>
    </row>
    <row r="570" ht="15" customHeight="1">
      <c r="A570" s="35" t="n"/>
      <c r="B570" s="35" t="n"/>
      <c r="C570" s="35" t="n"/>
      <c r="D570" s="35" t="n"/>
    </row>
    <row r="571" ht="15" customHeight="1">
      <c r="A571" s="35" t="n"/>
      <c r="B571" s="35" t="n"/>
      <c r="C571" s="35" t="n"/>
      <c r="D571" s="35" t="n"/>
    </row>
    <row r="572" ht="15" customHeight="1">
      <c r="A572" s="35" t="n"/>
      <c r="B572" s="35" t="n"/>
      <c r="C572" s="35" t="n"/>
      <c r="D572" s="35" t="n"/>
    </row>
    <row r="573" ht="15" customHeight="1">
      <c r="A573" s="35" t="n"/>
      <c r="B573" s="35" t="n"/>
      <c r="C573" s="35" t="n"/>
      <c r="D573" s="35" t="n"/>
    </row>
    <row r="574" ht="15" customHeight="1">
      <c r="A574" s="35" t="n"/>
      <c r="B574" s="35" t="n"/>
      <c r="C574" s="35" t="n"/>
      <c r="D574" s="35" t="n"/>
    </row>
    <row r="575" ht="15" customHeight="1">
      <c r="A575" s="35" t="n"/>
      <c r="B575" s="35" t="n"/>
      <c r="C575" s="35" t="n"/>
      <c r="D575" s="35" t="n"/>
    </row>
    <row r="576" ht="15" customHeight="1">
      <c r="A576" s="35" t="n"/>
      <c r="B576" s="35" t="n"/>
      <c r="C576" s="35" t="n"/>
      <c r="D576" s="35" t="n"/>
    </row>
    <row r="577" ht="15" customHeight="1">
      <c r="A577" s="35" t="n"/>
      <c r="B577" s="35" t="n"/>
      <c r="C577" s="35" t="n"/>
      <c r="D577" s="35" t="n"/>
    </row>
    <row r="578" ht="15" customHeight="1">
      <c r="A578" s="35" t="n"/>
      <c r="B578" s="35" t="n"/>
      <c r="C578" s="35" t="n"/>
      <c r="D578" s="35" t="n"/>
    </row>
    <row r="579" ht="15" customHeight="1">
      <c r="A579" s="35" t="n"/>
      <c r="B579" s="35" t="n"/>
      <c r="C579" s="35" t="n"/>
      <c r="D579" s="35" t="n"/>
    </row>
    <row r="580" ht="15" customHeight="1">
      <c r="A580" s="35" t="n"/>
      <c r="B580" s="35" t="n"/>
      <c r="C580" s="35" t="n"/>
      <c r="D580" s="35" t="n"/>
    </row>
    <row r="581" ht="15" customHeight="1">
      <c r="A581" s="35" t="n"/>
      <c r="B581" s="35" t="n"/>
      <c r="C581" s="35" t="n"/>
      <c r="D581" s="35" t="n"/>
    </row>
    <row r="582" ht="15" customHeight="1">
      <c r="A582" s="35" t="n"/>
      <c r="B582" s="35" t="n"/>
      <c r="C582" s="35" t="n"/>
      <c r="D582" s="35" t="n"/>
    </row>
    <row r="583" ht="15" customHeight="1">
      <c r="A583" s="35" t="n"/>
      <c r="B583" s="35" t="n"/>
      <c r="C583" s="35" t="n"/>
      <c r="D583" s="35" t="n"/>
    </row>
    <row r="584" ht="15" customHeight="1">
      <c r="A584" s="35" t="n"/>
      <c r="B584" s="35" t="n"/>
      <c r="C584" s="35" t="n"/>
      <c r="D584" s="35" t="n"/>
    </row>
    <row r="585" ht="15" customHeight="1">
      <c r="A585" s="35" t="n"/>
      <c r="B585" s="35" t="n"/>
      <c r="C585" s="35" t="n"/>
      <c r="D585" s="35" t="n"/>
    </row>
    <row r="586" ht="15" customHeight="1">
      <c r="A586" s="35" t="n"/>
      <c r="B586" s="35" t="n"/>
      <c r="C586" s="35" t="n"/>
      <c r="D586" s="35" t="n"/>
    </row>
    <row r="587" ht="15" customHeight="1">
      <c r="A587" s="35" t="n"/>
      <c r="B587" s="35" t="n"/>
      <c r="C587" s="35" t="n"/>
      <c r="D587" s="35" t="n"/>
    </row>
    <row r="588" ht="15" customHeight="1">
      <c r="A588" s="35" t="n"/>
      <c r="B588" s="35" t="n"/>
      <c r="C588" s="35" t="n"/>
      <c r="D588" s="35" t="n"/>
    </row>
    <row r="589" ht="15" customHeight="1">
      <c r="A589" s="35" t="n"/>
      <c r="B589" s="35" t="n"/>
      <c r="C589" s="35" t="n"/>
      <c r="D589" s="35" t="n"/>
    </row>
    <row r="590" ht="15" customHeight="1">
      <c r="A590" s="35" t="n"/>
      <c r="B590" s="35" t="n"/>
      <c r="C590" s="35" t="n"/>
      <c r="D590" s="35" t="n"/>
    </row>
    <row r="591" ht="15" customHeight="1">
      <c r="A591" s="35" t="n"/>
      <c r="B591" s="35" t="n"/>
      <c r="C591" s="35" t="n"/>
      <c r="D591" s="35" t="n"/>
    </row>
    <row r="592" ht="15" customHeight="1">
      <c r="A592" s="35" t="n"/>
      <c r="B592" s="35" t="n"/>
      <c r="C592" s="35" t="n"/>
      <c r="D592" s="35" t="n"/>
    </row>
    <row r="593" ht="15" customHeight="1">
      <c r="A593" s="35" t="n"/>
      <c r="B593" s="35" t="n"/>
      <c r="C593" s="35" t="n"/>
      <c r="D593" s="35" t="n"/>
    </row>
    <row r="594" ht="15" customHeight="1">
      <c r="A594" s="35" t="n"/>
      <c r="B594" s="35" t="n"/>
      <c r="C594" s="35" t="n"/>
      <c r="D594" s="35" t="n"/>
    </row>
    <row r="595" ht="15" customHeight="1">
      <c r="A595" s="35" t="n"/>
      <c r="B595" s="35" t="n"/>
      <c r="C595" s="35" t="n"/>
      <c r="D595" s="35" t="n"/>
    </row>
    <row r="596" ht="15" customHeight="1">
      <c r="A596" s="35" t="n"/>
      <c r="B596" s="35" t="n"/>
      <c r="C596" s="35" t="n"/>
      <c r="D596" s="35" t="n"/>
    </row>
    <row r="597" ht="15" customHeight="1">
      <c r="A597" s="35" t="n"/>
      <c r="B597" s="35" t="n"/>
      <c r="C597" s="35" t="n"/>
      <c r="D597" s="35" t="n"/>
    </row>
    <row r="598" ht="15" customHeight="1">
      <c r="A598" s="35" t="n"/>
      <c r="B598" s="35" t="n"/>
      <c r="C598" s="35" t="n"/>
      <c r="D598" s="35" t="n"/>
    </row>
    <row r="599" ht="15" customHeight="1">
      <c r="A599" s="35" t="n"/>
      <c r="B599" s="35" t="n"/>
      <c r="C599" s="35" t="n"/>
      <c r="D599" s="35" t="n"/>
    </row>
    <row r="600" ht="15" customHeight="1">
      <c r="A600" s="35" t="n"/>
      <c r="B600" s="35" t="n"/>
      <c r="C600" s="35" t="n"/>
      <c r="D600" s="35" t="n"/>
    </row>
    <row r="601" ht="15" customHeight="1">
      <c r="A601" s="35" t="n"/>
      <c r="B601" s="35" t="n"/>
      <c r="C601" s="35" t="n"/>
      <c r="D601" s="35" t="n"/>
    </row>
    <row r="602" ht="15" customHeight="1">
      <c r="A602" s="35" t="n"/>
      <c r="B602" s="35" t="n"/>
      <c r="C602" s="35" t="n"/>
      <c r="D602" s="35" t="n"/>
    </row>
    <row r="603" ht="15" customHeight="1">
      <c r="A603" s="35" t="n"/>
      <c r="B603" s="35" t="n"/>
      <c r="C603" s="35" t="n"/>
      <c r="D603" s="35" t="n"/>
    </row>
    <row r="604" ht="15" customHeight="1">
      <c r="A604" s="35" t="n"/>
      <c r="B604" s="35" t="n"/>
      <c r="C604" s="35" t="n"/>
      <c r="D604" s="35" t="n"/>
    </row>
    <row r="605" ht="15" customHeight="1">
      <c r="A605" s="35" t="n"/>
      <c r="B605" s="35" t="n"/>
      <c r="C605" s="35" t="n"/>
      <c r="D605" s="35" t="n"/>
    </row>
    <row r="606" ht="15" customHeight="1">
      <c r="A606" s="35" t="n"/>
      <c r="B606" s="35" t="n"/>
      <c r="C606" s="35" t="n"/>
      <c r="D606" s="35" t="n"/>
    </row>
    <row r="607" ht="15" customHeight="1">
      <c r="A607" s="35" t="n"/>
      <c r="B607" s="35" t="n"/>
      <c r="C607" s="35" t="n"/>
      <c r="D607" s="35" t="n"/>
    </row>
    <row r="608" ht="15" customHeight="1">
      <c r="A608" s="35" t="n"/>
      <c r="B608" s="35" t="n"/>
      <c r="C608" s="35" t="n"/>
      <c r="D608" s="35" t="n"/>
    </row>
    <row r="609" ht="15" customHeight="1">
      <c r="A609" s="35" t="n"/>
      <c r="B609" s="35" t="n"/>
      <c r="C609" s="35" t="n"/>
      <c r="D609" s="35" t="n"/>
    </row>
    <row r="610" ht="15" customHeight="1">
      <c r="A610" s="35" t="n"/>
      <c r="B610" s="35" t="n"/>
      <c r="C610" s="35" t="n"/>
      <c r="D610" s="35" t="n"/>
    </row>
    <row r="611" ht="15" customHeight="1">
      <c r="A611" s="35" t="n"/>
      <c r="B611" s="35" t="n"/>
      <c r="C611" s="35" t="n"/>
      <c r="D611" s="35" t="n"/>
    </row>
    <row r="612" ht="15" customHeight="1">
      <c r="A612" s="35" t="n"/>
      <c r="B612" s="35" t="n"/>
      <c r="C612" s="35" t="n"/>
      <c r="D612" s="35" t="n"/>
    </row>
    <row r="613" ht="15" customHeight="1">
      <c r="A613" s="35" t="n"/>
      <c r="B613" s="35" t="n"/>
      <c r="C613" s="35" t="n"/>
      <c r="D613" s="35" t="n"/>
    </row>
    <row r="614" ht="15" customHeight="1">
      <c r="A614" s="35" t="n"/>
      <c r="B614" s="35" t="n"/>
      <c r="C614" s="35" t="n"/>
      <c r="D614" s="35" t="n"/>
    </row>
    <row r="615" ht="15" customHeight="1">
      <c r="A615" s="35" t="n"/>
      <c r="B615" s="35" t="n"/>
      <c r="C615" s="35" t="n"/>
      <c r="D615" s="35" t="n"/>
    </row>
    <row r="616" ht="15" customHeight="1">
      <c r="A616" s="35" t="n"/>
      <c r="B616" s="35" t="n"/>
      <c r="C616" s="35" t="n"/>
      <c r="D616" s="35" t="n"/>
    </row>
    <row r="617" ht="15" customHeight="1">
      <c r="A617" s="35" t="n"/>
      <c r="B617" s="35" t="n"/>
      <c r="C617" s="35" t="n"/>
      <c r="D617" s="35" t="n"/>
    </row>
    <row r="618" ht="15" customHeight="1">
      <c r="A618" s="35" t="n"/>
      <c r="B618" s="35" t="n"/>
      <c r="C618" s="35" t="n"/>
      <c r="D618" s="35" t="n"/>
    </row>
    <row r="619" ht="15" customHeight="1">
      <c r="A619" s="35" t="n"/>
      <c r="B619" s="35" t="n"/>
      <c r="C619" s="35" t="n"/>
      <c r="D619" s="35" t="n"/>
    </row>
    <row r="620" ht="15" customHeight="1">
      <c r="A620" s="35" t="n"/>
      <c r="B620" s="35" t="n"/>
      <c r="C620" s="35" t="n"/>
      <c r="D620" s="35" t="n"/>
    </row>
    <row r="621" ht="15" customHeight="1">
      <c r="A621" s="35" t="n"/>
      <c r="B621" s="35" t="n"/>
      <c r="C621" s="35" t="n"/>
      <c r="D621" s="35" t="n"/>
    </row>
    <row r="622" ht="15" customHeight="1">
      <c r="A622" s="35" t="n"/>
      <c r="B622" s="35" t="n"/>
      <c r="C622" s="35" t="n"/>
      <c r="D622" s="35" t="n"/>
    </row>
    <row r="623" ht="15" customHeight="1">
      <c r="A623" s="35" t="n"/>
      <c r="B623" s="35" t="n"/>
      <c r="C623" s="35" t="n"/>
      <c r="D623" s="35" t="n"/>
    </row>
    <row r="624" ht="15" customHeight="1">
      <c r="A624" s="35" t="n"/>
      <c r="B624" s="35" t="n"/>
      <c r="C624" s="35" t="n"/>
      <c r="D624" s="35" t="n"/>
    </row>
    <row r="625" ht="15" customHeight="1">
      <c r="A625" s="35" t="n"/>
      <c r="B625" s="35" t="n"/>
      <c r="C625" s="35" t="n"/>
      <c r="D625" s="35" t="n"/>
    </row>
    <row r="626" ht="15" customHeight="1">
      <c r="A626" s="35" t="n"/>
      <c r="B626" s="35" t="n"/>
      <c r="C626" s="35" t="n"/>
      <c r="D626" s="35" t="n"/>
    </row>
    <row r="627" ht="15" customHeight="1">
      <c r="A627" s="35" t="n"/>
      <c r="B627" s="35" t="n"/>
      <c r="C627" s="35" t="n"/>
      <c r="D627" s="35" t="n"/>
    </row>
    <row r="628" ht="15" customHeight="1">
      <c r="A628" s="35" t="n"/>
      <c r="B628" s="35" t="n"/>
      <c r="C628" s="35" t="n"/>
      <c r="D628" s="35" t="n"/>
    </row>
    <row r="629" ht="15" customHeight="1">
      <c r="A629" s="35" t="n"/>
      <c r="B629" s="35" t="n"/>
      <c r="C629" s="35" t="n"/>
      <c r="D629" s="35" t="n"/>
    </row>
    <row r="630" ht="15" customHeight="1">
      <c r="A630" s="35" t="n"/>
      <c r="B630" s="35" t="n"/>
      <c r="C630" s="35" t="n"/>
      <c r="D630" s="35" t="n"/>
    </row>
    <row r="631" ht="15" customHeight="1">
      <c r="A631" s="35" t="n"/>
      <c r="B631" s="35" t="n"/>
      <c r="C631" s="35" t="n"/>
      <c r="D631" s="35" t="n"/>
    </row>
    <row r="632" ht="15" customHeight="1">
      <c r="A632" s="35" t="n"/>
      <c r="B632" s="35" t="n"/>
      <c r="C632" s="35" t="n"/>
      <c r="D632" s="35" t="n"/>
    </row>
    <row r="633" ht="15" customHeight="1">
      <c r="A633" s="35" t="n"/>
      <c r="B633" s="35" t="n"/>
      <c r="C633" s="35" t="n"/>
      <c r="D633" s="35" t="n"/>
    </row>
    <row r="634" ht="15" customHeight="1">
      <c r="A634" s="35" t="n"/>
      <c r="B634" s="35" t="n"/>
      <c r="C634" s="35" t="n"/>
      <c r="D634" s="35" t="n"/>
    </row>
    <row r="635" ht="15" customHeight="1">
      <c r="A635" s="35" t="n"/>
      <c r="B635" s="35" t="n"/>
      <c r="C635" s="35" t="n"/>
      <c r="D635" s="35" t="n"/>
    </row>
    <row r="636" ht="15" customHeight="1">
      <c r="A636" s="35" t="n"/>
      <c r="B636" s="35" t="n"/>
      <c r="C636" s="35" t="n"/>
      <c r="D636" s="35" t="n"/>
    </row>
    <row r="637" ht="15" customHeight="1">
      <c r="A637" s="35" t="n"/>
      <c r="B637" s="35" t="n"/>
      <c r="C637" s="35" t="n"/>
      <c r="D637" s="35" t="n"/>
    </row>
    <row r="638" ht="15" customHeight="1">
      <c r="A638" s="35" t="n"/>
      <c r="B638" s="35" t="n"/>
      <c r="C638" s="35" t="n"/>
      <c r="D638" s="35" t="n"/>
    </row>
    <row r="639" ht="15" customHeight="1">
      <c r="A639" s="35" t="n"/>
      <c r="B639" s="35" t="n"/>
      <c r="C639" s="35" t="n"/>
      <c r="D639" s="35" t="n"/>
    </row>
    <row r="640" ht="15" customHeight="1">
      <c r="A640" s="35" t="n"/>
      <c r="B640" s="35" t="n"/>
      <c r="C640" s="35" t="n"/>
      <c r="D640" s="35" t="n"/>
    </row>
    <row r="641" ht="15" customHeight="1">
      <c r="A641" s="35" t="n"/>
      <c r="B641" s="35" t="n"/>
      <c r="C641" s="35" t="n"/>
      <c r="D641" s="35" t="n"/>
    </row>
    <row r="642" ht="15" customHeight="1">
      <c r="A642" s="35" t="n"/>
      <c r="B642" s="35" t="n"/>
      <c r="C642" s="35" t="n"/>
      <c r="D642" s="35" t="n"/>
    </row>
    <row r="643" ht="15" customHeight="1">
      <c r="A643" s="35" t="n"/>
      <c r="B643" s="35" t="n"/>
      <c r="C643" s="35" t="n"/>
      <c r="D643" s="35" t="n"/>
    </row>
    <row r="644" ht="15" customHeight="1">
      <c r="A644" s="35" t="n"/>
      <c r="B644" s="35" t="n"/>
      <c r="C644" s="35" t="n"/>
      <c r="D644" s="35" t="n"/>
    </row>
    <row r="645" ht="15" customHeight="1">
      <c r="A645" s="35" t="n"/>
      <c r="B645" s="35" t="n"/>
      <c r="C645" s="35" t="n"/>
      <c r="D645" s="35" t="n"/>
    </row>
    <row r="646" ht="15" customHeight="1">
      <c r="A646" s="35" t="n"/>
      <c r="B646" s="35" t="n"/>
      <c r="C646" s="35" t="n"/>
      <c r="D646" s="35" t="n"/>
    </row>
    <row r="647" ht="15" customHeight="1">
      <c r="A647" s="35" t="n"/>
      <c r="B647" s="35" t="n"/>
      <c r="C647" s="35" t="n"/>
      <c r="D647" s="35" t="n"/>
    </row>
    <row r="648" ht="15" customHeight="1">
      <c r="A648" s="35" t="n"/>
      <c r="B648" s="35" t="n"/>
      <c r="C648" s="35" t="n"/>
      <c r="D648" s="35" t="n"/>
    </row>
    <row r="649" ht="15" customHeight="1">
      <c r="A649" s="35" t="n"/>
      <c r="B649" s="35" t="n"/>
      <c r="C649" s="35" t="n"/>
      <c r="D649" s="35" t="n"/>
    </row>
    <row r="650" ht="15" customHeight="1">
      <c r="A650" s="35" t="n"/>
      <c r="B650" s="35" t="n"/>
      <c r="C650" s="35" t="n"/>
      <c r="D650" s="35" t="n"/>
    </row>
    <row r="651" ht="15" customHeight="1">
      <c r="A651" s="35" t="n"/>
      <c r="B651" s="35" t="n"/>
      <c r="C651" s="35" t="n"/>
      <c r="D651" s="35" t="n"/>
    </row>
    <row r="652" ht="15" customHeight="1">
      <c r="A652" s="35" t="n"/>
      <c r="B652" s="35" t="n"/>
      <c r="C652" s="35" t="n"/>
      <c r="D652" s="35" t="n"/>
    </row>
    <row r="653" ht="15" customHeight="1">
      <c r="A653" s="35" t="n"/>
      <c r="B653" s="35" t="n"/>
      <c r="C653" s="35" t="n"/>
      <c r="D653" s="35" t="n"/>
    </row>
    <row r="654" ht="15" customHeight="1">
      <c r="A654" s="35" t="n"/>
      <c r="B654" s="35" t="n"/>
      <c r="C654" s="35" t="n"/>
      <c r="D654" s="35" t="n"/>
    </row>
    <row r="655" ht="15" customHeight="1">
      <c r="A655" s="35" t="n"/>
      <c r="B655" s="35" t="n"/>
      <c r="C655" s="35" t="n"/>
      <c r="D655" s="35" t="n"/>
    </row>
    <row r="656" ht="15" customHeight="1">
      <c r="A656" s="35" t="n"/>
      <c r="B656" s="35" t="n"/>
      <c r="C656" s="35" t="n"/>
      <c r="D656" s="35" t="n"/>
    </row>
    <row r="657" ht="15" customHeight="1">
      <c r="A657" s="35" t="n"/>
      <c r="B657" s="35" t="n"/>
      <c r="C657" s="35" t="n"/>
      <c r="D657" s="35" t="n"/>
    </row>
    <row r="658" ht="15" customHeight="1">
      <c r="A658" s="35" t="n"/>
      <c r="B658" s="35" t="n"/>
      <c r="C658" s="35" t="n"/>
      <c r="D658" s="35" t="n"/>
    </row>
    <row r="659" ht="15" customHeight="1">
      <c r="A659" s="35" t="n"/>
      <c r="B659" s="35" t="n"/>
      <c r="C659" s="35" t="n"/>
      <c r="D659" s="35" t="n"/>
    </row>
    <row r="660" ht="15" customHeight="1">
      <c r="A660" s="35" t="n"/>
      <c r="B660" s="35" t="n"/>
      <c r="C660" s="35" t="n"/>
      <c r="D660" s="35" t="n"/>
    </row>
    <row r="661" ht="15" customHeight="1">
      <c r="A661" s="35" t="n"/>
      <c r="B661" s="35" t="n"/>
      <c r="C661" s="35" t="n"/>
      <c r="D661" s="35" t="n"/>
    </row>
    <row r="662" ht="15" customHeight="1">
      <c r="A662" s="35" t="n"/>
      <c r="B662" s="35" t="n"/>
      <c r="C662" s="35" t="n"/>
      <c r="D662" s="35" t="n"/>
    </row>
    <row r="663" ht="15" customHeight="1">
      <c r="A663" s="35" t="n"/>
      <c r="B663" s="35" t="n"/>
      <c r="C663" s="35" t="n"/>
      <c r="D663" s="35" t="n"/>
    </row>
    <row r="664" ht="15" customHeight="1">
      <c r="A664" s="35" t="n"/>
      <c r="B664" s="35" t="n"/>
      <c r="C664" s="35" t="n"/>
      <c r="D664" s="35" t="n"/>
    </row>
    <row r="665" ht="15" customHeight="1">
      <c r="A665" s="35" t="n"/>
      <c r="B665" s="35" t="n"/>
      <c r="C665" s="35" t="n"/>
      <c r="D665" s="35" t="n"/>
    </row>
    <row r="666" ht="15" customHeight="1">
      <c r="A666" s="35" t="n"/>
      <c r="B666" s="35" t="n"/>
      <c r="C666" s="35" t="n"/>
      <c r="D666" s="35" t="n"/>
    </row>
    <row r="667" ht="15" customHeight="1">
      <c r="A667" s="35" t="n"/>
      <c r="B667" s="35" t="n"/>
      <c r="C667" s="35" t="n"/>
      <c r="D667" s="35" t="n"/>
    </row>
    <row r="668" ht="15" customHeight="1">
      <c r="A668" s="35" t="n"/>
      <c r="B668" s="35" t="n"/>
      <c r="C668" s="35" t="n"/>
      <c r="D668" s="35" t="n"/>
    </row>
    <row r="669" ht="15" customHeight="1">
      <c r="A669" s="35" t="n"/>
      <c r="B669" s="35" t="n"/>
      <c r="C669" s="35" t="n"/>
      <c r="D669" s="35" t="n"/>
    </row>
    <row r="670" ht="15" customHeight="1">
      <c r="A670" s="35" t="n"/>
      <c r="B670" s="35" t="n"/>
      <c r="C670" s="35" t="n"/>
      <c r="D670" s="35" t="n"/>
    </row>
    <row r="671" ht="15" customHeight="1">
      <c r="A671" s="35" t="n"/>
      <c r="B671" s="35" t="n"/>
      <c r="C671" s="35" t="n"/>
      <c r="D671" s="35" t="n"/>
    </row>
    <row r="672" ht="15" customHeight="1">
      <c r="A672" s="35" t="n"/>
      <c r="B672" s="35" t="n"/>
      <c r="C672" s="35" t="n"/>
      <c r="D672" s="35" t="n"/>
    </row>
    <row r="673" ht="15" customHeight="1">
      <c r="A673" s="35" t="n"/>
      <c r="B673" s="35" t="n"/>
      <c r="C673" s="35" t="n"/>
      <c r="D673" s="35" t="n"/>
    </row>
    <row r="674" ht="15" customHeight="1">
      <c r="A674" s="35" t="n"/>
      <c r="B674" s="35" t="n"/>
      <c r="C674" s="35" t="n"/>
      <c r="D674" s="35" t="n"/>
    </row>
    <row r="675" ht="15" customHeight="1">
      <c r="A675" s="35" t="n"/>
      <c r="B675" s="35" t="n"/>
      <c r="C675" s="35" t="n"/>
      <c r="D675" s="35" t="n"/>
    </row>
    <row r="676" ht="15" customHeight="1">
      <c r="A676" s="35" t="n"/>
      <c r="B676" s="35" t="n"/>
      <c r="C676" s="35" t="n"/>
      <c r="D676" s="35" t="n"/>
    </row>
    <row r="677" ht="15" customHeight="1">
      <c r="A677" s="35" t="n"/>
      <c r="B677" s="35" t="n"/>
      <c r="C677" s="35" t="n"/>
      <c r="D677" s="35" t="n"/>
    </row>
    <row r="678" ht="15" customHeight="1">
      <c r="A678" s="35" t="n"/>
      <c r="B678" s="35" t="n"/>
      <c r="C678" s="35" t="n"/>
      <c r="D678" s="35" t="n"/>
    </row>
    <row r="679" ht="15" customHeight="1">
      <c r="A679" s="35" t="n"/>
      <c r="B679" s="35" t="n"/>
      <c r="C679" s="35" t="n"/>
      <c r="D679" s="35" t="n"/>
    </row>
    <row r="680" ht="15" customHeight="1">
      <c r="A680" s="35" t="n"/>
      <c r="B680" s="35" t="n"/>
      <c r="C680" s="35" t="n"/>
      <c r="D680" s="35" t="n"/>
    </row>
    <row r="681" ht="15" customHeight="1">
      <c r="A681" s="35" t="n"/>
      <c r="B681" s="35" t="n"/>
      <c r="C681" s="35" t="n"/>
      <c r="D681" s="35" t="n"/>
    </row>
    <row r="682" ht="15" customHeight="1">
      <c r="A682" s="35" t="n"/>
      <c r="B682" s="35" t="n"/>
      <c r="C682" s="35" t="n"/>
      <c r="D682" s="35" t="n"/>
    </row>
    <row r="683" ht="15" customHeight="1">
      <c r="A683" s="35" t="n"/>
      <c r="B683" s="35" t="n"/>
      <c r="C683" s="35" t="n"/>
      <c r="D683" s="35" t="n"/>
    </row>
    <row r="684" ht="15" customHeight="1">
      <c r="A684" s="35" t="n"/>
      <c r="B684" s="35" t="n"/>
      <c r="C684" s="35" t="n"/>
      <c r="D684" s="35" t="n"/>
    </row>
    <row r="685" ht="15" customHeight="1">
      <c r="A685" s="35" t="n"/>
      <c r="B685" s="35" t="n"/>
      <c r="C685" s="35" t="n"/>
      <c r="D685" s="35" t="n"/>
    </row>
    <row r="686" ht="15" customHeight="1">
      <c r="A686" s="35" t="n"/>
      <c r="B686" s="35" t="n"/>
      <c r="C686" s="35" t="n"/>
      <c r="D686" s="35" t="n"/>
    </row>
    <row r="687" ht="15" customHeight="1">
      <c r="A687" s="35" t="n"/>
      <c r="B687" s="35" t="n"/>
      <c r="C687" s="35" t="n"/>
      <c r="D687" s="35" t="n"/>
    </row>
    <row r="688" ht="15" customHeight="1">
      <c r="A688" s="35" t="n"/>
      <c r="B688" s="35" t="n"/>
      <c r="C688" s="35" t="n"/>
      <c r="D688" s="35" t="n"/>
    </row>
    <row r="689" ht="15" customHeight="1">
      <c r="A689" s="35" t="n"/>
      <c r="B689" s="35" t="n"/>
      <c r="C689" s="35" t="n"/>
      <c r="D689" s="35" t="n"/>
    </row>
    <row r="690" ht="15" customHeight="1">
      <c r="A690" s="35" t="n"/>
      <c r="B690" s="35" t="n"/>
      <c r="C690" s="35" t="n"/>
      <c r="D690" s="35" t="n"/>
    </row>
    <row r="691" ht="15" customHeight="1">
      <c r="A691" s="35" t="n"/>
      <c r="B691" s="35" t="n"/>
      <c r="C691" s="35" t="n"/>
      <c r="D691" s="35" t="n"/>
    </row>
    <row r="692" ht="15" customHeight="1">
      <c r="A692" s="35" t="n"/>
      <c r="B692" s="35" t="n"/>
      <c r="C692" s="35" t="n"/>
      <c r="D692" s="35" t="n"/>
    </row>
    <row r="693" ht="15" customHeight="1">
      <c r="A693" s="35" t="n"/>
      <c r="B693" s="35" t="n"/>
      <c r="C693" s="35" t="n"/>
      <c r="D693" s="35" t="n"/>
    </row>
    <row r="694" ht="15" customHeight="1">
      <c r="A694" s="35" t="n"/>
      <c r="B694" s="35" t="n"/>
      <c r="C694" s="35" t="n"/>
      <c r="D694" s="35" t="n"/>
    </row>
    <row r="695" ht="15" customHeight="1">
      <c r="A695" s="35" t="n"/>
      <c r="B695" s="35" t="n"/>
      <c r="C695" s="35" t="n"/>
      <c r="D695" s="35" t="n"/>
    </row>
    <row r="696" ht="15" customHeight="1">
      <c r="A696" s="35" t="n"/>
      <c r="B696" s="35" t="n"/>
      <c r="C696" s="35" t="n"/>
      <c r="D696" s="35" t="n"/>
    </row>
    <row r="697" ht="15" customHeight="1">
      <c r="A697" s="35" t="n"/>
      <c r="B697" s="35" t="n"/>
      <c r="C697" s="35" t="n"/>
      <c r="D697" s="35" t="n"/>
    </row>
    <row r="698" ht="15" customHeight="1">
      <c r="A698" s="35" t="n"/>
      <c r="B698" s="35" t="n"/>
      <c r="C698" s="35" t="n"/>
      <c r="D698" s="35" t="n"/>
    </row>
    <row r="699" ht="15" customHeight="1">
      <c r="A699" s="35" t="n"/>
      <c r="B699" s="35" t="n"/>
      <c r="C699" s="35" t="n"/>
      <c r="D699" s="35" t="n"/>
    </row>
    <row r="700" ht="15" customHeight="1">
      <c r="A700" s="35" t="n"/>
      <c r="B700" s="35" t="n"/>
      <c r="C700" s="35" t="n"/>
      <c r="D700" s="35" t="n"/>
    </row>
    <row r="701" ht="15" customHeight="1">
      <c r="A701" s="35" t="n"/>
      <c r="B701" s="35" t="n"/>
      <c r="C701" s="35" t="n"/>
      <c r="D701" s="35" t="n"/>
    </row>
    <row r="702" ht="15" customHeight="1">
      <c r="A702" s="35" t="n"/>
      <c r="B702" s="35" t="n"/>
      <c r="C702" s="35" t="n"/>
      <c r="D702" s="35" t="n"/>
    </row>
    <row r="703" ht="15" customHeight="1">
      <c r="A703" s="35" t="n"/>
      <c r="B703" s="35" t="n"/>
      <c r="C703" s="35" t="n"/>
      <c r="D703" s="35" t="n"/>
    </row>
    <row r="704" ht="15" customHeight="1">
      <c r="A704" s="35" t="n"/>
      <c r="B704" s="35" t="n"/>
      <c r="C704" s="35" t="n"/>
      <c r="D704" s="35" t="n"/>
    </row>
    <row r="705" ht="15" customHeight="1">
      <c r="A705" s="35" t="n"/>
      <c r="B705" s="35" t="n"/>
      <c r="C705" s="35" t="n"/>
      <c r="D705" s="35" t="n"/>
    </row>
    <row r="706" ht="15" customHeight="1">
      <c r="A706" s="35" t="n"/>
      <c r="B706" s="35" t="n"/>
      <c r="C706" s="35" t="n"/>
      <c r="D706" s="35" t="n"/>
    </row>
    <row r="707" ht="15" customHeight="1">
      <c r="A707" s="35" t="n"/>
      <c r="B707" s="35" t="n"/>
      <c r="C707" s="35" t="n"/>
      <c r="D707" s="35" t="n"/>
    </row>
    <row r="708" ht="15" customHeight="1">
      <c r="A708" s="35" t="n"/>
      <c r="B708" s="35" t="n"/>
      <c r="C708" s="35" t="n"/>
      <c r="D708" s="35" t="n"/>
    </row>
    <row r="709" ht="15" customHeight="1">
      <c r="A709" s="35" t="n"/>
      <c r="B709" s="35" t="n"/>
      <c r="C709" s="35" t="n"/>
      <c r="D709" s="35" t="n"/>
    </row>
    <row r="710" ht="15" customHeight="1">
      <c r="A710" s="35" t="n"/>
      <c r="B710" s="35" t="n"/>
      <c r="C710" s="35" t="n"/>
      <c r="D710" s="35" t="n"/>
    </row>
    <row r="711" ht="15" customHeight="1">
      <c r="A711" s="35" t="n"/>
      <c r="B711" s="35" t="n"/>
      <c r="C711" s="35" t="n"/>
      <c r="D711" s="35" t="n"/>
    </row>
    <row r="712" ht="15" customHeight="1">
      <c r="A712" s="35" t="n"/>
      <c r="B712" s="35" t="n"/>
      <c r="C712" s="35" t="n"/>
      <c r="D712" s="35" t="n"/>
    </row>
    <row r="713" ht="15" customHeight="1">
      <c r="A713" s="35" t="n"/>
      <c r="B713" s="35" t="n"/>
      <c r="C713" s="35" t="n"/>
      <c r="D713" s="35" t="n"/>
    </row>
    <row r="714" ht="15" customHeight="1">
      <c r="A714" s="35" t="n"/>
      <c r="B714" s="35" t="n"/>
      <c r="C714" s="35" t="n"/>
      <c r="D714" s="35" t="n"/>
    </row>
    <row r="715" ht="15" customHeight="1">
      <c r="A715" s="35" t="n"/>
      <c r="B715" s="35" t="n"/>
      <c r="C715" s="35" t="n"/>
      <c r="D715" s="35" t="n"/>
    </row>
    <row r="716" ht="15" customHeight="1">
      <c r="A716" s="35" t="n"/>
      <c r="B716" s="35" t="n"/>
      <c r="C716" s="35" t="n"/>
      <c r="D716" s="35" t="n"/>
    </row>
    <row r="717" ht="15" customHeight="1">
      <c r="A717" s="35" t="n"/>
      <c r="B717" s="35" t="n"/>
      <c r="C717" s="35" t="n"/>
      <c r="D717" s="35" t="n"/>
    </row>
    <row r="718" ht="15" customHeight="1">
      <c r="A718" s="35" t="n"/>
      <c r="B718" s="35" t="n"/>
      <c r="C718" s="35" t="n"/>
      <c r="D718" s="35" t="n"/>
    </row>
    <row r="719" ht="15" customHeight="1">
      <c r="A719" s="35" t="n"/>
      <c r="B719" s="35" t="n"/>
      <c r="C719" s="35" t="n"/>
      <c r="D719" s="35" t="n"/>
    </row>
    <row r="720" ht="15" customHeight="1">
      <c r="A720" s="35" t="n"/>
      <c r="B720" s="35" t="n"/>
      <c r="C720" s="35" t="n"/>
      <c r="D720" s="35" t="n"/>
    </row>
    <row r="721" ht="15" customHeight="1">
      <c r="A721" s="35" t="n"/>
      <c r="B721" s="35" t="n"/>
      <c r="C721" s="35" t="n"/>
      <c r="D721" s="35" t="n"/>
    </row>
    <row r="722" ht="15" customHeight="1">
      <c r="A722" s="35" t="n"/>
      <c r="B722" s="35" t="n"/>
      <c r="C722" s="35" t="n"/>
      <c r="D722" s="35" t="n"/>
    </row>
    <row r="723" ht="15" customHeight="1">
      <c r="A723" s="35" t="n"/>
      <c r="B723" s="35" t="n"/>
      <c r="C723" s="35" t="n"/>
      <c r="D723" s="35" t="n"/>
    </row>
    <row r="724" ht="15" customHeight="1">
      <c r="A724" s="35" t="n"/>
      <c r="B724" s="35" t="n"/>
      <c r="C724" s="35" t="n"/>
      <c r="D724" s="35" t="n"/>
    </row>
    <row r="725" ht="15" customHeight="1">
      <c r="A725" s="35" t="n"/>
      <c r="B725" s="35" t="n"/>
      <c r="C725" s="35" t="n"/>
      <c r="D725" s="35" t="n"/>
    </row>
    <row r="726" ht="15" customHeight="1">
      <c r="A726" s="35" t="n"/>
      <c r="B726" s="35" t="n"/>
      <c r="C726" s="35" t="n"/>
      <c r="D726" s="35" t="n"/>
    </row>
    <row r="727" ht="15" customHeight="1">
      <c r="A727" s="35" t="n"/>
      <c r="B727" s="35" t="n"/>
      <c r="C727" s="35" t="n"/>
      <c r="D727" s="35" t="n"/>
    </row>
    <row r="728" ht="15" customHeight="1">
      <c r="A728" s="35" t="n"/>
      <c r="B728" s="35" t="n"/>
      <c r="C728" s="35" t="n"/>
      <c r="D728" s="35" t="n"/>
    </row>
    <row r="729" ht="15" customHeight="1">
      <c r="A729" s="35" t="n"/>
      <c r="B729" s="35" t="n"/>
      <c r="C729" s="35" t="n"/>
      <c r="D729" s="35" t="n"/>
    </row>
    <row r="730" ht="15" customHeight="1">
      <c r="A730" s="35" t="n"/>
      <c r="B730" s="35" t="n"/>
      <c r="C730" s="35" t="n"/>
      <c r="D730" s="35" t="n"/>
    </row>
    <row r="731" ht="15" customHeight="1">
      <c r="A731" s="35" t="n"/>
      <c r="B731" s="35" t="n"/>
      <c r="C731" s="35" t="n"/>
      <c r="D731" s="35" t="n"/>
    </row>
    <row r="732" ht="15" customHeight="1">
      <c r="A732" s="35" t="n"/>
      <c r="B732" s="35" t="n"/>
      <c r="C732" s="35" t="n"/>
      <c r="D732" s="35" t="n"/>
    </row>
    <row r="733" ht="15" customHeight="1">
      <c r="A733" s="35" t="n"/>
      <c r="B733" s="35" t="n"/>
      <c r="C733" s="35" t="n"/>
      <c r="D733" s="35" t="n"/>
    </row>
    <row r="734" ht="15" customHeight="1">
      <c r="A734" s="35" t="n"/>
      <c r="B734" s="35" t="n"/>
      <c r="C734" s="35" t="n"/>
      <c r="D734" s="35" t="n"/>
    </row>
    <row r="735" ht="15" customHeight="1">
      <c r="A735" s="35" t="n"/>
      <c r="B735" s="35" t="n"/>
      <c r="C735" s="35" t="n"/>
      <c r="D735" s="35" t="n"/>
    </row>
    <row r="736" ht="15" customHeight="1">
      <c r="A736" s="35" t="n"/>
      <c r="B736" s="35" t="n"/>
      <c r="C736" s="35" t="n"/>
      <c r="D736" s="35" t="n"/>
    </row>
    <row r="737" ht="15" customHeight="1">
      <c r="A737" s="35" t="n"/>
      <c r="B737" s="35" t="n"/>
      <c r="C737" s="35" t="n"/>
      <c r="D737" s="35" t="n"/>
    </row>
    <row r="738" ht="15" customHeight="1">
      <c r="A738" s="35" t="n"/>
      <c r="B738" s="35" t="n"/>
      <c r="C738" s="35" t="n"/>
      <c r="D738" s="35" t="n"/>
    </row>
    <row r="739" ht="15" customHeight="1">
      <c r="A739" s="35" t="n"/>
      <c r="B739" s="35" t="n"/>
      <c r="C739" s="35" t="n"/>
      <c r="D739" s="35" t="n"/>
    </row>
    <row r="740" ht="15" customHeight="1">
      <c r="A740" s="35" t="n"/>
      <c r="B740" s="35" t="n"/>
      <c r="C740" s="35" t="n"/>
      <c r="D740" s="35" t="n"/>
    </row>
    <row r="741" ht="15" customHeight="1">
      <c r="A741" s="35" t="n"/>
      <c r="B741" s="35" t="n"/>
      <c r="C741" s="35" t="n"/>
      <c r="D741" s="35" t="n"/>
    </row>
    <row r="742" ht="15" customHeight="1">
      <c r="A742" s="35" t="n"/>
      <c r="B742" s="35" t="n"/>
      <c r="C742" s="35" t="n"/>
      <c r="D742" s="35" t="n"/>
    </row>
    <row r="743" ht="15" customHeight="1">
      <c r="A743" s="35" t="n"/>
      <c r="B743" s="35" t="n"/>
      <c r="C743" s="35" t="n"/>
      <c r="D743" s="35" t="n"/>
    </row>
    <row r="744" ht="15" customHeight="1">
      <c r="A744" s="35" t="n"/>
      <c r="B744" s="35" t="n"/>
      <c r="C744" s="35" t="n"/>
      <c r="D744" s="35" t="n"/>
    </row>
    <row r="745" ht="15" customHeight="1">
      <c r="A745" s="35" t="n"/>
      <c r="B745" s="35" t="n"/>
      <c r="C745" s="35" t="n"/>
      <c r="D745" s="35" t="n"/>
    </row>
    <row r="746" ht="15" customHeight="1">
      <c r="A746" s="35" t="n"/>
      <c r="B746" s="35" t="n"/>
      <c r="C746" s="35" t="n"/>
      <c r="D746" s="35" t="n"/>
    </row>
    <row r="747" ht="15" customHeight="1">
      <c r="A747" s="35" t="n"/>
      <c r="B747" s="35" t="n"/>
      <c r="C747" s="35" t="n"/>
      <c r="D747" s="35" t="n"/>
    </row>
    <row r="748" ht="15" customHeight="1">
      <c r="A748" s="35" t="n"/>
      <c r="B748" s="35" t="n"/>
      <c r="C748" s="35" t="n"/>
      <c r="D748" s="35" t="n"/>
    </row>
    <row r="749" ht="15" customHeight="1">
      <c r="A749" s="35" t="n"/>
      <c r="B749" s="35" t="n"/>
      <c r="C749" s="35" t="n"/>
      <c r="D749" s="35" t="n"/>
    </row>
    <row r="750" ht="15" customHeight="1">
      <c r="A750" s="35" t="n"/>
      <c r="B750" s="35" t="n"/>
      <c r="C750" s="35" t="n"/>
      <c r="D750" s="35" t="n"/>
    </row>
    <row r="751" ht="15" customHeight="1">
      <c r="A751" s="35" t="n"/>
      <c r="B751" s="35" t="n"/>
      <c r="C751" s="35" t="n"/>
      <c r="D751" s="35" t="n"/>
    </row>
    <row r="752" ht="15" customHeight="1">
      <c r="A752" s="35" t="n"/>
      <c r="B752" s="35" t="n"/>
      <c r="C752" s="35" t="n"/>
      <c r="D752" s="35" t="n"/>
    </row>
    <row r="753" ht="15" customHeight="1">
      <c r="A753" s="35" t="n"/>
      <c r="B753" s="35" t="n"/>
      <c r="C753" s="35" t="n"/>
      <c r="D753" s="35" t="n"/>
    </row>
    <row r="754" ht="15" customHeight="1">
      <c r="A754" s="35" t="n"/>
      <c r="B754" s="35" t="n"/>
      <c r="C754" s="35" t="n"/>
      <c r="D754" s="35" t="n"/>
    </row>
    <row r="755" ht="15" customHeight="1">
      <c r="A755" s="35" t="n"/>
      <c r="B755" s="35" t="n"/>
      <c r="C755" s="35" t="n"/>
      <c r="D755" s="35" t="n"/>
    </row>
    <row r="756" ht="15" customHeight="1">
      <c r="A756" s="35" t="n"/>
      <c r="B756" s="35" t="n"/>
      <c r="C756" s="35" t="n"/>
      <c r="D756" s="35" t="n"/>
    </row>
    <row r="757" ht="15" customHeight="1">
      <c r="A757" s="35" t="n"/>
      <c r="B757" s="35" t="n"/>
      <c r="C757" s="35" t="n"/>
      <c r="D757" s="35" t="n"/>
    </row>
    <row r="758" ht="15" customHeight="1">
      <c r="A758" s="35" t="n"/>
      <c r="B758" s="35" t="n"/>
      <c r="C758" s="35" t="n"/>
      <c r="D758" s="35" t="n"/>
    </row>
    <row r="759" ht="15" customHeight="1">
      <c r="A759" s="35" t="n"/>
      <c r="B759" s="35" t="n"/>
      <c r="C759" s="35" t="n"/>
      <c r="D759" s="35" t="n"/>
    </row>
    <row r="760" ht="15" customHeight="1">
      <c r="A760" s="35" t="n"/>
      <c r="B760" s="35" t="n"/>
      <c r="C760" s="35" t="n"/>
      <c r="D760" s="35" t="n"/>
    </row>
    <row r="761" ht="15" customHeight="1">
      <c r="A761" s="35" t="n"/>
      <c r="B761" s="35" t="n"/>
      <c r="C761" s="35" t="n"/>
      <c r="D761" s="35" t="n"/>
    </row>
    <row r="762" ht="15" customHeight="1">
      <c r="A762" s="35" t="n"/>
      <c r="B762" s="35" t="n"/>
      <c r="C762" s="35" t="n"/>
      <c r="D762" s="35" t="n"/>
    </row>
    <row r="763" ht="15" customHeight="1">
      <c r="A763" s="35" t="n"/>
      <c r="B763" s="35" t="n"/>
      <c r="C763" s="35" t="n"/>
      <c r="D763" s="35" t="n"/>
    </row>
    <row r="764" ht="15" customHeight="1">
      <c r="A764" s="35" t="n"/>
      <c r="B764" s="35" t="n"/>
      <c r="C764" s="35" t="n"/>
      <c r="D764" s="35" t="n"/>
    </row>
    <row r="765" ht="15" customHeight="1">
      <c r="A765" s="35" t="n"/>
      <c r="B765" s="35" t="n"/>
      <c r="C765" s="35" t="n"/>
      <c r="D765" s="35" t="n"/>
    </row>
    <row r="766" ht="15" customHeight="1">
      <c r="A766" s="35" t="n"/>
      <c r="B766" s="35" t="n"/>
      <c r="C766" s="35" t="n"/>
      <c r="D766" s="35" t="n"/>
    </row>
    <row r="767" ht="15" customHeight="1">
      <c r="A767" s="35" t="n"/>
      <c r="B767" s="35" t="n"/>
      <c r="C767" s="35" t="n"/>
      <c r="D767" s="35" t="n"/>
    </row>
    <row r="768" ht="15" customHeight="1">
      <c r="A768" s="35" t="n"/>
      <c r="B768" s="35" t="n"/>
      <c r="C768" s="35" t="n"/>
      <c r="D768" s="35" t="n"/>
    </row>
    <row r="769" ht="15" customHeight="1">
      <c r="A769" s="35" t="n"/>
      <c r="B769" s="35" t="n"/>
      <c r="C769" s="35" t="n"/>
      <c r="D769" s="35" t="n"/>
    </row>
    <row r="770" ht="15" customHeight="1">
      <c r="A770" s="35" t="n"/>
      <c r="B770" s="35" t="n"/>
      <c r="C770" s="35" t="n"/>
      <c r="D770" s="35" t="n"/>
    </row>
    <row r="771" ht="15" customHeight="1">
      <c r="A771" s="35" t="n"/>
      <c r="B771" s="35" t="n"/>
      <c r="C771" s="35" t="n"/>
      <c r="D771" s="35" t="n"/>
    </row>
    <row r="772" ht="15" customHeight="1">
      <c r="A772" s="35" t="n"/>
      <c r="B772" s="35" t="n"/>
      <c r="C772" s="35" t="n"/>
      <c r="D772" s="35" t="n"/>
    </row>
    <row r="773" ht="15" customHeight="1">
      <c r="A773" s="35" t="n"/>
      <c r="B773" s="35" t="n"/>
      <c r="C773" s="35" t="n"/>
      <c r="D773" s="35" t="n"/>
    </row>
    <row r="774" ht="15" customHeight="1">
      <c r="A774" s="35" t="n"/>
      <c r="B774" s="35" t="n"/>
      <c r="C774" s="35" t="n"/>
      <c r="D774" s="35" t="n"/>
    </row>
    <row r="775" ht="15" customHeight="1">
      <c r="A775" s="35" t="n"/>
      <c r="B775" s="35" t="n"/>
      <c r="C775" s="35" t="n"/>
      <c r="D775" s="35" t="n"/>
    </row>
    <row r="776" ht="15" customHeight="1">
      <c r="A776" s="35" t="n"/>
      <c r="B776" s="35" t="n"/>
      <c r="C776" s="35" t="n"/>
      <c r="D776" s="35" t="n"/>
    </row>
    <row r="777" ht="15" customHeight="1">
      <c r="A777" s="35" t="n"/>
      <c r="B777" s="35" t="n"/>
      <c r="C777" s="35" t="n"/>
      <c r="D777" s="35" t="n"/>
    </row>
    <row r="778" ht="15" customHeight="1">
      <c r="A778" s="35" t="n"/>
      <c r="B778" s="35" t="n"/>
      <c r="C778" s="35" t="n"/>
      <c r="D778" s="35" t="n"/>
    </row>
    <row r="779" ht="15" customHeight="1">
      <c r="A779" s="35" t="n"/>
      <c r="B779" s="35" t="n"/>
      <c r="C779" s="35" t="n"/>
      <c r="D779" s="35" t="n"/>
    </row>
    <row r="780" ht="15" customHeight="1">
      <c r="A780" s="35" t="n"/>
      <c r="B780" s="35" t="n"/>
      <c r="C780" s="35" t="n"/>
      <c r="D780" s="35" t="n"/>
    </row>
    <row r="781" ht="15" customHeight="1">
      <c r="A781" s="35" t="n"/>
      <c r="B781" s="35" t="n"/>
      <c r="C781" s="35" t="n"/>
      <c r="D781" s="35" t="n"/>
    </row>
    <row r="782" ht="15" customHeight="1">
      <c r="A782" s="35" t="n"/>
      <c r="B782" s="35" t="n"/>
      <c r="C782" s="35" t="n"/>
      <c r="D782" s="35" t="n"/>
    </row>
    <row r="783" ht="15" customHeight="1">
      <c r="A783" s="35" t="n"/>
      <c r="B783" s="35" t="n"/>
      <c r="C783" s="35" t="n"/>
      <c r="D783" s="35" t="n"/>
    </row>
    <row r="784" ht="15" customHeight="1">
      <c r="A784" s="35" t="n"/>
      <c r="B784" s="35" t="n"/>
      <c r="C784" s="35" t="n"/>
      <c r="D784" s="35" t="n"/>
    </row>
    <row r="785" ht="15" customHeight="1">
      <c r="A785" s="35" t="n"/>
      <c r="B785" s="35" t="n"/>
      <c r="C785" s="35" t="n"/>
      <c r="D785" s="35" t="n"/>
    </row>
    <row r="786" ht="15" customHeight="1">
      <c r="A786" s="35" t="n"/>
      <c r="B786" s="35" t="n"/>
      <c r="C786" s="35" t="n"/>
      <c r="D786" s="35" t="n"/>
    </row>
    <row r="787" ht="15" customHeight="1">
      <c r="A787" s="35" t="n"/>
      <c r="B787" s="35" t="n"/>
      <c r="C787" s="35" t="n"/>
      <c r="D787" s="35" t="n"/>
    </row>
    <row r="788" ht="15" customHeight="1">
      <c r="A788" s="35" t="n"/>
      <c r="B788" s="35" t="n"/>
      <c r="C788" s="35" t="n"/>
      <c r="D788" s="35" t="n"/>
    </row>
    <row r="789" ht="15" customHeight="1">
      <c r="A789" s="35" t="n"/>
      <c r="B789" s="35" t="n"/>
      <c r="C789" s="35" t="n"/>
      <c r="D789" s="35" t="n"/>
    </row>
    <row r="790" ht="15" customHeight="1">
      <c r="A790" s="35" t="n"/>
      <c r="B790" s="35" t="n"/>
      <c r="C790" s="35" t="n"/>
      <c r="D790" s="35" t="n"/>
    </row>
    <row r="791" ht="15" customHeight="1">
      <c r="A791" s="35" t="n"/>
      <c r="B791" s="35" t="n"/>
      <c r="C791" s="35" t="n"/>
      <c r="D791" s="35" t="n"/>
    </row>
    <row r="792" ht="15" customHeight="1">
      <c r="A792" s="35" t="n"/>
      <c r="B792" s="35" t="n"/>
      <c r="C792" s="35" t="n"/>
      <c r="D792" s="35" t="n"/>
    </row>
    <row r="793" ht="15" customHeight="1">
      <c r="A793" s="35" t="n"/>
      <c r="B793" s="35" t="n"/>
      <c r="C793" s="35" t="n"/>
      <c r="D793" s="35" t="n"/>
    </row>
    <row r="794" ht="15" customHeight="1">
      <c r="A794" s="35" t="n"/>
      <c r="B794" s="35" t="n"/>
      <c r="C794" s="35" t="n"/>
      <c r="D794" s="35" t="n"/>
    </row>
    <row r="795" ht="15" customHeight="1">
      <c r="A795" s="35" t="n"/>
      <c r="B795" s="35" t="n"/>
      <c r="C795" s="35" t="n"/>
      <c r="D795" s="35" t="n"/>
    </row>
    <row r="796" ht="15" customHeight="1">
      <c r="A796" s="35" t="n"/>
      <c r="B796" s="35" t="n"/>
      <c r="C796" s="35" t="n"/>
      <c r="D796" s="35" t="n"/>
    </row>
    <row r="797" ht="15" customHeight="1">
      <c r="A797" s="35" t="n"/>
      <c r="B797" s="35" t="n"/>
      <c r="C797" s="35" t="n"/>
      <c r="D797" s="35" t="n"/>
    </row>
    <row r="798" ht="15" customHeight="1">
      <c r="A798" s="35" t="n"/>
      <c r="B798" s="35" t="n"/>
      <c r="C798" s="35" t="n"/>
      <c r="D798" s="35" t="n"/>
    </row>
    <row r="799" ht="15" customHeight="1">
      <c r="A799" s="35" t="n"/>
      <c r="B799" s="35" t="n"/>
      <c r="C799" s="35" t="n"/>
      <c r="D799" s="35" t="n"/>
    </row>
    <row r="800" ht="15" customHeight="1">
      <c r="A800" s="35" t="n"/>
      <c r="B800" s="35" t="n"/>
      <c r="C800" s="35" t="n"/>
      <c r="D800" s="35" t="n"/>
    </row>
    <row r="801" ht="15" customHeight="1">
      <c r="A801" s="35" t="n"/>
      <c r="B801" s="35" t="n"/>
      <c r="C801" s="35" t="n"/>
      <c r="D801" s="35" t="n"/>
    </row>
    <row r="802" ht="15" customHeight="1">
      <c r="A802" s="35" t="n"/>
      <c r="B802" s="35" t="n"/>
      <c r="C802" s="35" t="n"/>
      <c r="D802" s="35" t="n"/>
    </row>
    <row r="803" ht="15" customHeight="1">
      <c r="A803" s="35" t="n"/>
      <c r="B803" s="35" t="n"/>
      <c r="C803" s="35" t="n"/>
      <c r="D803" s="35" t="n"/>
    </row>
    <row r="804" ht="15" customHeight="1">
      <c r="A804" s="35" t="n"/>
      <c r="B804" s="35" t="n"/>
      <c r="C804" s="35" t="n"/>
      <c r="D804" s="35" t="n"/>
    </row>
    <row r="805" ht="15" customHeight="1">
      <c r="A805" s="35" t="n"/>
      <c r="B805" s="35" t="n"/>
      <c r="C805" s="35" t="n"/>
      <c r="D805" s="35" t="n"/>
    </row>
    <row r="806" ht="15" customHeight="1">
      <c r="A806" s="35" t="n"/>
      <c r="B806" s="35" t="n"/>
      <c r="C806" s="35" t="n"/>
      <c r="D806" s="35" t="n"/>
    </row>
    <row r="807" ht="15" customHeight="1">
      <c r="A807" s="35" t="n"/>
      <c r="B807" s="35" t="n"/>
      <c r="C807" s="35" t="n"/>
      <c r="D807" s="35" t="n"/>
    </row>
    <row r="808" ht="15" customHeight="1">
      <c r="A808" s="35" t="n"/>
      <c r="B808" s="35" t="n"/>
      <c r="C808" s="35" t="n"/>
      <c r="D808" s="35" t="n"/>
    </row>
    <row r="809" ht="15" customHeight="1">
      <c r="A809" s="35" t="n"/>
      <c r="B809" s="35" t="n"/>
      <c r="C809" s="35" t="n"/>
      <c r="D809" s="35" t="n"/>
    </row>
    <row r="810" ht="15" customHeight="1">
      <c r="A810" s="35" t="n"/>
      <c r="B810" s="35" t="n"/>
      <c r="C810" s="35" t="n"/>
      <c r="D810" s="35" t="n"/>
    </row>
    <row r="811" ht="15" customHeight="1">
      <c r="A811" s="35" t="n"/>
      <c r="B811" s="35" t="n"/>
      <c r="C811" s="35" t="n"/>
      <c r="D811" s="35" t="n"/>
    </row>
    <row r="812" ht="15" customHeight="1">
      <c r="A812" s="35" t="n"/>
      <c r="B812" s="35" t="n"/>
      <c r="C812" s="35" t="n"/>
      <c r="D812" s="35" t="n"/>
    </row>
    <row r="813" ht="15" customHeight="1">
      <c r="A813" s="35" t="n"/>
      <c r="B813" s="35" t="n"/>
      <c r="C813" s="35" t="n"/>
      <c r="D813" s="35" t="n"/>
    </row>
    <row r="814" ht="15" customHeight="1">
      <c r="A814" s="35" t="n"/>
      <c r="B814" s="35" t="n"/>
      <c r="C814" s="35" t="n"/>
      <c r="D814" s="35" t="n"/>
    </row>
    <row r="815" ht="15" customHeight="1">
      <c r="A815" s="35" t="n"/>
      <c r="B815" s="35" t="n"/>
      <c r="C815" s="35" t="n"/>
      <c r="D815" s="35" t="n"/>
    </row>
    <row r="816" ht="15" customHeight="1">
      <c r="A816" s="35" t="n"/>
      <c r="B816" s="35" t="n"/>
      <c r="C816" s="35" t="n"/>
      <c r="D816" s="35" t="n"/>
    </row>
    <row r="817" ht="15" customHeight="1">
      <c r="A817" s="35" t="n"/>
      <c r="B817" s="35" t="n"/>
      <c r="C817" s="35" t="n"/>
      <c r="D817" s="35" t="n"/>
    </row>
    <row r="818" ht="15" customHeight="1">
      <c r="A818" s="35" t="n"/>
      <c r="B818" s="35" t="n"/>
      <c r="C818" s="35" t="n"/>
      <c r="D818" s="35" t="n"/>
    </row>
    <row r="819" ht="15" customHeight="1">
      <c r="A819" s="35" t="n"/>
      <c r="B819" s="35" t="n"/>
      <c r="C819" s="35" t="n"/>
      <c r="D819" s="35" t="n"/>
    </row>
    <row r="820" ht="15" customHeight="1">
      <c r="A820" s="35" t="n"/>
      <c r="B820" s="35" t="n"/>
      <c r="C820" s="35" t="n"/>
      <c r="D820" s="35" t="n"/>
    </row>
    <row r="821" ht="15" customHeight="1">
      <c r="A821" s="35" t="n"/>
      <c r="B821" s="35" t="n"/>
      <c r="C821" s="35" t="n"/>
      <c r="D821" s="35" t="n"/>
    </row>
    <row r="822" ht="15" customHeight="1">
      <c r="A822" s="35" t="n"/>
      <c r="B822" s="35" t="n"/>
      <c r="C822" s="35" t="n"/>
      <c r="D822" s="35" t="n"/>
    </row>
    <row r="823" ht="15" customHeight="1">
      <c r="A823" s="35" t="n"/>
      <c r="B823" s="35" t="n"/>
      <c r="C823" s="35" t="n"/>
      <c r="D823" s="35" t="n"/>
    </row>
    <row r="824" ht="15" customHeight="1">
      <c r="A824" s="35" t="n"/>
      <c r="B824" s="35" t="n"/>
      <c r="C824" s="35" t="n"/>
      <c r="D824" s="35" t="n"/>
    </row>
    <row r="825" ht="15" customHeight="1">
      <c r="A825" s="35" t="n"/>
      <c r="B825" s="35" t="n"/>
      <c r="C825" s="35" t="n"/>
      <c r="D825" s="35" t="n"/>
    </row>
    <row r="826" ht="15" customHeight="1">
      <c r="A826" s="35" t="n"/>
      <c r="B826" s="35" t="n"/>
      <c r="C826" s="35" t="n"/>
      <c r="D826" s="35" t="n"/>
    </row>
    <row r="827" ht="15" customHeight="1">
      <c r="A827" s="35" t="n"/>
      <c r="B827" s="35" t="n"/>
      <c r="C827" s="35" t="n"/>
      <c r="D827" s="35" t="n"/>
    </row>
    <row r="828" ht="15" customHeight="1">
      <c r="A828" s="35" t="n"/>
      <c r="B828" s="35" t="n"/>
      <c r="C828" s="35" t="n"/>
      <c r="D828" s="35" t="n"/>
    </row>
    <row r="829" ht="15" customHeight="1">
      <c r="A829" s="35" t="n"/>
      <c r="B829" s="35" t="n"/>
      <c r="C829" s="35" t="n"/>
      <c r="D829" s="35" t="n"/>
    </row>
    <row r="830" ht="15" customHeight="1">
      <c r="A830" s="35" t="n"/>
      <c r="B830" s="35" t="n"/>
      <c r="C830" s="35" t="n"/>
      <c r="D830" s="35" t="n"/>
    </row>
    <row r="831" ht="15" customHeight="1">
      <c r="A831" s="35" t="n"/>
      <c r="B831" s="35" t="n"/>
      <c r="C831" s="35" t="n"/>
      <c r="D831" s="35" t="n"/>
    </row>
    <row r="832" ht="15" customHeight="1">
      <c r="A832" s="35" t="n"/>
      <c r="B832" s="35" t="n"/>
      <c r="C832" s="35" t="n"/>
      <c r="D832" s="35" t="n"/>
    </row>
    <row r="833" ht="15" customHeight="1">
      <c r="A833" s="35" t="n"/>
      <c r="B833" s="35" t="n"/>
      <c r="C833" s="35" t="n"/>
      <c r="D833" s="35" t="n"/>
    </row>
    <row r="834" ht="15" customHeight="1">
      <c r="A834" s="35" t="n"/>
      <c r="B834" s="35" t="n"/>
      <c r="C834" s="35" t="n"/>
      <c r="D834" s="35" t="n"/>
    </row>
    <row r="835" ht="15" customHeight="1">
      <c r="A835" s="35" t="n"/>
      <c r="B835" s="35" t="n"/>
      <c r="C835" s="35" t="n"/>
      <c r="D835" s="35" t="n"/>
    </row>
    <row r="836" ht="15" customHeight="1">
      <c r="A836" s="35" t="n"/>
      <c r="B836" s="35" t="n"/>
      <c r="C836" s="35" t="n"/>
      <c r="D836" s="35" t="n"/>
    </row>
    <row r="837" ht="15" customHeight="1">
      <c r="A837" s="35" t="n"/>
      <c r="B837" s="35" t="n"/>
      <c r="C837" s="35" t="n"/>
      <c r="D837" s="35" t="n"/>
    </row>
    <row r="838" ht="15" customHeight="1">
      <c r="A838" s="35" t="n"/>
      <c r="B838" s="35" t="n"/>
      <c r="C838" s="35" t="n"/>
      <c r="D838" s="35" t="n"/>
    </row>
    <row r="839" ht="15" customHeight="1">
      <c r="A839" s="35" t="n"/>
      <c r="B839" s="35" t="n"/>
      <c r="C839" s="35" t="n"/>
      <c r="D839" s="35" t="n"/>
    </row>
    <row r="840" ht="15" customHeight="1">
      <c r="A840" s="35" t="n"/>
      <c r="B840" s="35" t="n"/>
      <c r="C840" s="35" t="n"/>
      <c r="D840" s="35" t="n"/>
    </row>
    <row r="841" ht="15" customHeight="1">
      <c r="A841" s="35" t="n"/>
      <c r="B841" s="35" t="n"/>
      <c r="C841" s="35" t="n"/>
      <c r="D841" s="35" t="n"/>
    </row>
    <row r="842" ht="15" customHeight="1">
      <c r="A842" s="35" t="n"/>
      <c r="B842" s="35" t="n"/>
      <c r="C842" s="35" t="n"/>
      <c r="D842" s="35" t="n"/>
    </row>
    <row r="843" ht="15" customHeight="1">
      <c r="A843" s="35" t="n"/>
      <c r="B843" s="35" t="n"/>
      <c r="C843" s="35" t="n"/>
      <c r="D843" s="35" t="n"/>
    </row>
    <row r="844" ht="15" customHeight="1">
      <c r="A844" s="35" t="n"/>
      <c r="B844" s="35" t="n"/>
      <c r="C844" s="35" t="n"/>
      <c r="D844" s="35" t="n"/>
    </row>
    <row r="845" ht="15" customHeight="1">
      <c r="A845" s="35" t="n"/>
      <c r="B845" s="35" t="n"/>
      <c r="C845" s="35" t="n"/>
      <c r="D845" s="35" t="n"/>
    </row>
    <row r="846" ht="15" customHeight="1">
      <c r="A846" s="35" t="n"/>
      <c r="B846" s="35" t="n"/>
      <c r="C846" s="35" t="n"/>
      <c r="D846" s="35" t="n"/>
    </row>
    <row r="847" ht="15" customHeight="1">
      <c r="A847" s="35" t="n"/>
      <c r="B847" s="35" t="n"/>
      <c r="C847" s="35" t="n"/>
      <c r="D847" s="35" t="n"/>
    </row>
    <row r="848" ht="15" customHeight="1">
      <c r="A848" s="35" t="n"/>
      <c r="B848" s="35" t="n"/>
      <c r="C848" s="35" t="n"/>
      <c r="D848" s="35" t="n"/>
    </row>
    <row r="849" ht="15" customHeight="1">
      <c r="A849" s="35" t="n"/>
      <c r="B849" s="35" t="n"/>
      <c r="C849" s="35" t="n"/>
      <c r="D849" s="35" t="n"/>
    </row>
    <row r="850" ht="15" customHeight="1">
      <c r="A850" s="35" t="n"/>
      <c r="B850" s="35" t="n"/>
      <c r="C850" s="35" t="n"/>
      <c r="D850" s="35" t="n"/>
    </row>
    <row r="851" ht="15" customHeight="1">
      <c r="A851" s="35" t="n"/>
      <c r="B851" s="35" t="n"/>
      <c r="C851" s="35" t="n"/>
      <c r="D851" s="35" t="n"/>
    </row>
    <row r="852" ht="15" customHeight="1">
      <c r="A852" s="35" t="n"/>
      <c r="B852" s="35" t="n"/>
      <c r="C852" s="35" t="n"/>
      <c r="D852" s="35" t="n"/>
    </row>
    <row r="853" ht="15" customHeight="1">
      <c r="A853" s="35" t="n"/>
      <c r="B853" s="35" t="n"/>
      <c r="C853" s="35" t="n"/>
      <c r="D853" s="35" t="n"/>
    </row>
    <row r="854" ht="15" customHeight="1">
      <c r="A854" s="35" t="n"/>
      <c r="B854" s="35" t="n"/>
      <c r="C854" s="35" t="n"/>
      <c r="D854" s="35" t="n"/>
    </row>
    <row r="855" ht="15" customHeight="1">
      <c r="A855" s="35" t="n"/>
      <c r="B855" s="35" t="n"/>
      <c r="C855" s="35" t="n"/>
      <c r="D855" s="35" t="n"/>
    </row>
    <row r="856" ht="15" customHeight="1">
      <c r="A856" s="35" t="n"/>
      <c r="B856" s="35" t="n"/>
      <c r="C856" s="35" t="n"/>
      <c r="D856" s="35" t="n"/>
    </row>
    <row r="857" ht="15" customHeight="1">
      <c r="A857" s="35" t="n"/>
      <c r="B857" s="35" t="n"/>
      <c r="C857" s="35" t="n"/>
      <c r="D857" s="35" t="n"/>
    </row>
    <row r="858" ht="15" customHeight="1">
      <c r="A858" s="35" t="n"/>
      <c r="B858" s="35" t="n"/>
      <c r="C858" s="35" t="n"/>
      <c r="D858" s="35" t="n"/>
    </row>
    <row r="859" ht="15" customHeight="1">
      <c r="A859" s="35" t="n"/>
      <c r="B859" s="35" t="n"/>
      <c r="C859" s="35" t="n"/>
      <c r="D859" s="35" t="n"/>
    </row>
    <row r="860" ht="15" customHeight="1">
      <c r="A860" s="35" t="n"/>
      <c r="B860" s="35" t="n"/>
      <c r="C860" s="35" t="n"/>
      <c r="D860" s="35" t="n"/>
    </row>
    <row r="861" ht="15" customHeight="1">
      <c r="A861" s="35" t="n"/>
      <c r="B861" s="35" t="n"/>
      <c r="C861" s="35" t="n"/>
      <c r="D861" s="35" t="n"/>
    </row>
    <row r="862" ht="15" customHeight="1">
      <c r="A862" s="35" t="n"/>
      <c r="B862" s="35" t="n"/>
      <c r="C862" s="35" t="n"/>
      <c r="D862" s="35" t="n"/>
    </row>
    <row r="863" ht="15" customHeight="1">
      <c r="A863" s="35" t="n"/>
      <c r="B863" s="35" t="n"/>
      <c r="C863" s="35" t="n"/>
      <c r="D863" s="35" t="n"/>
    </row>
    <row r="864" ht="15" customHeight="1">
      <c r="A864" s="35" t="n"/>
      <c r="B864" s="35" t="n"/>
      <c r="C864" s="35" t="n"/>
      <c r="D864" s="35" t="n"/>
    </row>
    <row r="865" ht="15" customHeight="1">
      <c r="A865" s="35" t="n"/>
      <c r="B865" s="35" t="n"/>
      <c r="C865" s="35" t="n"/>
      <c r="D865" s="35" t="n"/>
    </row>
    <row r="866" ht="15" customHeight="1">
      <c r="A866" s="35" t="n"/>
      <c r="B866" s="35" t="n"/>
      <c r="C866" s="35" t="n"/>
      <c r="D866" s="35" t="n"/>
    </row>
    <row r="867" ht="15" customHeight="1">
      <c r="A867" s="35" t="n"/>
      <c r="B867" s="35" t="n"/>
      <c r="C867" s="35" t="n"/>
      <c r="D867" s="35" t="n"/>
    </row>
    <row r="868" ht="15" customHeight="1">
      <c r="A868" s="35" t="n"/>
      <c r="B868" s="35" t="n"/>
      <c r="C868" s="35" t="n"/>
      <c r="D868" s="35" t="n"/>
    </row>
    <row r="869" ht="15" customHeight="1">
      <c r="A869" s="35" t="n"/>
      <c r="B869" s="35" t="n"/>
      <c r="C869" s="35" t="n"/>
      <c r="D869" s="35" t="n"/>
    </row>
    <row r="870" ht="15" customHeight="1">
      <c r="A870" s="35" t="n"/>
      <c r="B870" s="35" t="n"/>
      <c r="C870" s="35" t="n"/>
      <c r="D870" s="35" t="n"/>
    </row>
    <row r="871" ht="15" customHeight="1">
      <c r="A871" s="35" t="n"/>
      <c r="B871" s="35" t="n"/>
      <c r="C871" s="35" t="n"/>
      <c r="D871" s="35" t="n"/>
    </row>
    <row r="872" ht="15" customHeight="1">
      <c r="A872" s="35" t="n"/>
      <c r="B872" s="35" t="n"/>
      <c r="C872" s="35" t="n"/>
      <c r="D872" s="35" t="n"/>
    </row>
    <row r="873" ht="15" customHeight="1">
      <c r="A873" s="35" t="n"/>
      <c r="B873" s="35" t="n"/>
      <c r="C873" s="35" t="n"/>
      <c r="D873" s="35" t="n"/>
    </row>
    <row r="874" ht="15" customHeight="1">
      <c r="A874" s="35" t="n"/>
      <c r="B874" s="35" t="n"/>
      <c r="C874" s="35" t="n"/>
      <c r="D874" s="35" t="n"/>
    </row>
    <row r="875" ht="15" customHeight="1">
      <c r="A875" s="35" t="n"/>
      <c r="B875" s="35" t="n"/>
      <c r="C875" s="35" t="n"/>
      <c r="D875" s="35" t="n"/>
    </row>
    <row r="876" ht="15" customHeight="1">
      <c r="A876" s="35" t="n"/>
      <c r="B876" s="35" t="n"/>
      <c r="C876" s="35" t="n"/>
      <c r="D876" s="35" t="n"/>
    </row>
    <row r="877" ht="15" customHeight="1">
      <c r="A877" s="35" t="n"/>
      <c r="B877" s="35" t="n"/>
      <c r="C877" s="35" t="n"/>
      <c r="D877" s="35" t="n"/>
    </row>
    <row r="878" ht="15" customHeight="1">
      <c r="A878" s="35" t="n"/>
      <c r="B878" s="35" t="n"/>
      <c r="C878" s="35" t="n"/>
      <c r="D878" s="35" t="n"/>
    </row>
    <row r="879" ht="15" customHeight="1">
      <c r="A879" s="35" t="n"/>
      <c r="B879" s="35" t="n"/>
      <c r="C879" s="35" t="n"/>
      <c r="D879" s="35" t="n"/>
    </row>
    <row r="880" ht="15" customHeight="1">
      <c r="A880" s="35" t="n"/>
      <c r="B880" s="35" t="n"/>
      <c r="C880" s="35" t="n"/>
      <c r="D880" s="35" t="n"/>
    </row>
    <row r="881" ht="15" customHeight="1">
      <c r="A881" s="35" t="n"/>
      <c r="B881" s="35" t="n"/>
      <c r="C881" s="35" t="n"/>
      <c r="D881" s="35" t="n"/>
    </row>
    <row r="882" ht="15" customHeight="1">
      <c r="A882" s="35" t="n"/>
      <c r="B882" s="35" t="n"/>
      <c r="C882" s="35" t="n"/>
      <c r="D882" s="35" t="n"/>
    </row>
    <row r="883" ht="15" customHeight="1">
      <c r="A883" s="35" t="n"/>
      <c r="B883" s="35" t="n"/>
      <c r="C883" s="35" t="n"/>
      <c r="D883" s="35" t="n"/>
    </row>
    <row r="884" ht="15" customHeight="1">
      <c r="A884" s="35" t="n"/>
      <c r="B884" s="35" t="n"/>
      <c r="C884" s="35" t="n"/>
      <c r="D884" s="35" t="n"/>
    </row>
    <row r="885" ht="15" customHeight="1">
      <c r="A885" s="35" t="n"/>
      <c r="B885" s="35" t="n"/>
      <c r="C885" s="35" t="n"/>
      <c r="D885" s="35" t="n"/>
    </row>
    <row r="886" ht="15" customHeight="1">
      <c r="A886" s="35" t="n"/>
      <c r="B886" s="35" t="n"/>
      <c r="C886" s="35" t="n"/>
      <c r="D886" s="35" t="n"/>
    </row>
    <row r="887" ht="15" customHeight="1">
      <c r="A887" s="35" t="n"/>
      <c r="B887" s="35" t="n"/>
      <c r="C887" s="35" t="n"/>
      <c r="D887" s="35" t="n"/>
    </row>
    <row r="888" ht="15" customHeight="1">
      <c r="A888" s="35" t="n"/>
      <c r="B888" s="35" t="n"/>
      <c r="C888" s="35" t="n"/>
      <c r="D888" s="35" t="n"/>
    </row>
    <row r="889" ht="15" customHeight="1">
      <c r="A889" s="35" t="n"/>
      <c r="B889" s="35" t="n"/>
      <c r="C889" s="35" t="n"/>
      <c r="D889" s="35" t="n"/>
    </row>
    <row r="890" ht="15" customHeight="1">
      <c r="A890" s="35" t="n"/>
      <c r="B890" s="35" t="n"/>
      <c r="C890" s="35" t="n"/>
      <c r="D890" s="35" t="n"/>
    </row>
    <row r="891" ht="15" customHeight="1">
      <c r="A891" s="35" t="n"/>
      <c r="B891" s="35" t="n"/>
      <c r="C891" s="35" t="n"/>
      <c r="D891" s="35" t="n"/>
    </row>
    <row r="892" ht="15" customHeight="1">
      <c r="A892" s="35" t="n"/>
      <c r="B892" s="35" t="n"/>
      <c r="C892" s="35" t="n"/>
      <c r="D892" s="35" t="n"/>
    </row>
    <row r="893" ht="15" customHeight="1">
      <c r="A893" s="35" t="n"/>
      <c r="B893" s="35" t="n"/>
      <c r="C893" s="35" t="n"/>
      <c r="D893" s="35" t="n"/>
    </row>
    <row r="894" ht="15" customHeight="1">
      <c r="A894" s="35" t="n"/>
      <c r="B894" s="35" t="n"/>
      <c r="C894" s="35" t="n"/>
      <c r="D894" s="35" t="n"/>
    </row>
    <row r="895" ht="15" customHeight="1">
      <c r="A895" s="35" t="n"/>
      <c r="B895" s="35" t="n"/>
      <c r="C895" s="35" t="n"/>
      <c r="D895" s="35" t="n"/>
    </row>
    <row r="896" ht="15" customHeight="1">
      <c r="A896" s="35" t="n"/>
      <c r="B896" s="35" t="n"/>
      <c r="C896" s="35" t="n"/>
      <c r="D896" s="35" t="n"/>
    </row>
    <row r="897" ht="15" customHeight="1">
      <c r="A897" s="35" t="n"/>
      <c r="B897" s="35" t="n"/>
      <c r="C897" s="35" t="n"/>
      <c r="D897" s="35" t="n"/>
    </row>
    <row r="898" ht="15" customHeight="1">
      <c r="A898" s="35" t="n"/>
      <c r="B898" s="35" t="n"/>
      <c r="C898" s="35" t="n"/>
      <c r="D898" s="35" t="n"/>
    </row>
    <row r="899" ht="15" customHeight="1">
      <c r="A899" s="35" t="n"/>
      <c r="B899" s="35" t="n"/>
      <c r="C899" s="35" t="n"/>
      <c r="D899" s="35" t="n"/>
    </row>
    <row r="900" ht="15" customHeight="1">
      <c r="A900" s="35" t="n"/>
      <c r="B900" s="35" t="n"/>
      <c r="C900" s="35" t="n"/>
      <c r="D900" s="35" t="n"/>
    </row>
    <row r="901" ht="15" customHeight="1">
      <c r="A901" s="35" t="n"/>
      <c r="B901" s="35" t="n"/>
      <c r="C901" s="35" t="n"/>
      <c r="D901" s="35" t="n"/>
    </row>
    <row r="902" ht="15" customHeight="1">
      <c r="A902" s="35" t="n"/>
      <c r="B902" s="35" t="n"/>
      <c r="C902" s="35" t="n"/>
      <c r="D902" s="35" t="n"/>
    </row>
    <row r="903" ht="15" customHeight="1">
      <c r="A903" s="35" t="n"/>
      <c r="B903" s="35" t="n"/>
      <c r="C903" s="35" t="n"/>
      <c r="D903" s="35" t="n"/>
    </row>
    <row r="904" ht="15" customHeight="1">
      <c r="A904" s="35" t="n"/>
      <c r="B904" s="35" t="n"/>
      <c r="C904" s="35" t="n"/>
      <c r="D904" s="35" t="n"/>
    </row>
    <row r="905" ht="15" customHeight="1">
      <c r="A905" s="35" t="n"/>
      <c r="B905" s="35" t="n"/>
      <c r="C905" s="35" t="n"/>
      <c r="D905" s="35" t="n"/>
    </row>
    <row r="906" ht="15" customHeight="1">
      <c r="A906" s="35" t="n"/>
      <c r="B906" s="35" t="n"/>
      <c r="C906" s="35" t="n"/>
      <c r="D906" s="35" t="n"/>
    </row>
    <row r="907" ht="15" customHeight="1">
      <c r="A907" s="35" t="n"/>
      <c r="B907" s="35" t="n"/>
      <c r="C907" s="35" t="n"/>
      <c r="D907" s="35" t="n"/>
    </row>
    <row r="908" ht="15" customHeight="1">
      <c r="A908" s="35" t="n"/>
      <c r="B908" s="35" t="n"/>
      <c r="C908" s="35" t="n"/>
      <c r="D908" s="35" t="n"/>
    </row>
    <row r="909" ht="15" customHeight="1">
      <c r="A909" s="35" t="n"/>
      <c r="B909" s="35" t="n"/>
      <c r="C909" s="35" t="n"/>
      <c r="D909" s="35" t="n"/>
    </row>
    <row r="910" ht="15" customHeight="1">
      <c r="A910" s="35" t="n"/>
      <c r="B910" s="35" t="n"/>
      <c r="C910" s="35" t="n"/>
      <c r="D910" s="35" t="n"/>
    </row>
    <row r="911" ht="15" customHeight="1">
      <c r="A911" s="35" t="n"/>
      <c r="B911" s="35" t="n"/>
      <c r="C911" s="35" t="n"/>
      <c r="D911" s="35" t="n"/>
    </row>
    <row r="912" ht="15" customHeight="1">
      <c r="A912" s="35" t="n"/>
      <c r="B912" s="35" t="n"/>
      <c r="C912" s="35" t="n"/>
      <c r="D912" s="35" t="n"/>
    </row>
    <row r="913" ht="15" customHeight="1">
      <c r="A913" s="35" t="n"/>
      <c r="B913" s="35" t="n"/>
      <c r="C913" s="35" t="n"/>
      <c r="D913" s="35" t="n"/>
    </row>
    <row r="914" ht="15" customHeight="1">
      <c r="A914" s="35" t="n"/>
      <c r="B914" s="35" t="n"/>
      <c r="C914" s="35" t="n"/>
      <c r="D914" s="35" t="n"/>
    </row>
    <row r="915" ht="15" customHeight="1">
      <c r="A915" s="35" t="n"/>
      <c r="B915" s="35" t="n"/>
      <c r="C915" s="35" t="n"/>
      <c r="D915" s="35" t="n"/>
    </row>
    <row r="916" ht="15" customHeight="1">
      <c r="A916" s="35" t="n"/>
      <c r="B916" s="35" t="n"/>
      <c r="C916" s="35" t="n"/>
      <c r="D916" s="35" t="n"/>
    </row>
    <row r="917" ht="15" customHeight="1">
      <c r="A917" s="35" t="n"/>
      <c r="B917" s="35" t="n"/>
      <c r="C917" s="35" t="n"/>
      <c r="D917" s="35" t="n"/>
    </row>
    <row r="918" ht="15" customHeight="1">
      <c r="A918" s="35" t="n"/>
      <c r="B918" s="35" t="n"/>
      <c r="C918" s="35" t="n"/>
      <c r="D918" s="35" t="n"/>
    </row>
    <row r="919" ht="15" customHeight="1">
      <c r="A919" s="35" t="n"/>
      <c r="B919" s="35" t="n"/>
      <c r="C919" s="35" t="n"/>
      <c r="D919" s="35" t="n"/>
    </row>
    <row r="920" ht="15" customHeight="1">
      <c r="A920" s="35" t="n"/>
      <c r="B920" s="35" t="n"/>
      <c r="C920" s="35" t="n"/>
      <c r="D920" s="35" t="n"/>
    </row>
    <row r="921" ht="15" customHeight="1">
      <c r="A921" s="35" t="n"/>
      <c r="B921" s="35" t="n"/>
      <c r="C921" s="35" t="n"/>
      <c r="D921" s="35" t="n"/>
    </row>
    <row r="922" ht="15" customHeight="1">
      <c r="A922" s="35" t="n"/>
      <c r="B922" s="35" t="n"/>
      <c r="C922" s="35" t="n"/>
      <c r="D922" s="35" t="n"/>
    </row>
    <row r="923" ht="15" customHeight="1">
      <c r="A923" s="35" t="n"/>
      <c r="B923" s="35" t="n"/>
      <c r="C923" s="35" t="n"/>
      <c r="D923" s="35" t="n"/>
    </row>
    <row r="924" ht="15" customHeight="1">
      <c r="A924" s="35" t="n"/>
      <c r="B924" s="35" t="n"/>
      <c r="C924" s="35" t="n"/>
      <c r="D924" s="35" t="n"/>
    </row>
    <row r="925" ht="15" customHeight="1">
      <c r="A925" s="35" t="n"/>
      <c r="B925" s="35" t="n"/>
      <c r="C925" s="35" t="n"/>
      <c r="D925" s="35" t="n"/>
    </row>
    <row r="926" ht="15" customHeight="1">
      <c r="A926" s="35" t="n"/>
      <c r="B926" s="35" t="n"/>
      <c r="C926" s="35" t="n"/>
      <c r="D926" s="35" t="n"/>
    </row>
    <row r="927" ht="15" customHeight="1">
      <c r="A927" s="35" t="n"/>
      <c r="B927" s="35" t="n"/>
      <c r="C927" s="35" t="n"/>
      <c r="D927" s="35" t="n"/>
    </row>
    <row r="928" ht="15" customHeight="1">
      <c r="A928" s="35" t="n"/>
      <c r="B928" s="35" t="n"/>
      <c r="C928" s="35" t="n"/>
      <c r="D928" s="35" t="n"/>
    </row>
    <row r="929" ht="15" customHeight="1">
      <c r="A929" s="35" t="n"/>
      <c r="B929" s="35" t="n"/>
      <c r="C929" s="35" t="n"/>
      <c r="D929" s="35" t="n"/>
    </row>
    <row r="930" ht="15" customHeight="1">
      <c r="A930" s="35" t="n"/>
      <c r="B930" s="35" t="n"/>
      <c r="C930" s="35" t="n"/>
      <c r="D930" s="35" t="n"/>
    </row>
    <row r="931" ht="15" customHeight="1">
      <c r="A931" s="35" t="n"/>
      <c r="B931" s="35" t="n"/>
      <c r="C931" s="35" t="n"/>
      <c r="D931" s="35" t="n"/>
    </row>
    <row r="932" ht="15" customHeight="1">
      <c r="A932" s="35" t="n"/>
      <c r="B932" s="35" t="n"/>
      <c r="C932" s="35" t="n"/>
      <c r="D932" s="35" t="n"/>
    </row>
    <row r="933" ht="15" customHeight="1">
      <c r="A933" s="35" t="n"/>
      <c r="B933" s="35" t="n"/>
      <c r="C933" s="35" t="n"/>
      <c r="D933" s="35" t="n"/>
    </row>
    <row r="934" ht="15" customHeight="1">
      <c r="A934" s="35" t="n"/>
      <c r="B934" s="35" t="n"/>
      <c r="C934" s="35" t="n"/>
      <c r="D934" s="35" t="n"/>
    </row>
    <row r="935" ht="15" customHeight="1">
      <c r="A935" s="35" t="n"/>
      <c r="B935" s="35" t="n"/>
      <c r="C935" s="35" t="n"/>
      <c r="D935" s="35" t="n"/>
    </row>
    <row r="936" ht="15" customHeight="1">
      <c r="A936" s="35" t="n"/>
      <c r="B936" s="35" t="n"/>
      <c r="C936" s="35" t="n"/>
      <c r="D936" s="35" t="n"/>
    </row>
    <row r="937" ht="15" customHeight="1">
      <c r="A937" s="35" t="n"/>
      <c r="B937" s="35" t="n"/>
      <c r="C937" s="35" t="n"/>
      <c r="D937" s="35" t="n"/>
    </row>
    <row r="938" ht="15" customHeight="1">
      <c r="A938" s="35" t="n"/>
      <c r="B938" s="35" t="n"/>
      <c r="C938" s="35" t="n"/>
      <c r="D938" s="35" t="n"/>
    </row>
    <row r="939" ht="15" customHeight="1">
      <c r="A939" s="35" t="n"/>
      <c r="B939" s="35" t="n"/>
      <c r="C939" s="35" t="n"/>
      <c r="D939" s="35" t="n"/>
    </row>
    <row r="940" ht="15" customHeight="1">
      <c r="A940" s="35" t="n"/>
      <c r="B940" s="35" t="n"/>
      <c r="C940" s="35" t="n"/>
      <c r="D940" s="35" t="n"/>
    </row>
    <row r="941" ht="15" customHeight="1">
      <c r="A941" s="35" t="n"/>
      <c r="B941" s="35" t="n"/>
      <c r="C941" s="35" t="n"/>
      <c r="D941" s="35" t="n"/>
    </row>
    <row r="942" ht="15" customHeight="1">
      <c r="A942" s="35" t="n"/>
      <c r="B942" s="35" t="n"/>
      <c r="C942" s="35" t="n"/>
      <c r="D942" s="35" t="n"/>
    </row>
    <row r="943" ht="15" customHeight="1">
      <c r="A943" s="35" t="n"/>
      <c r="B943" s="35" t="n"/>
      <c r="C943" s="35" t="n"/>
      <c r="D943" s="35" t="n"/>
    </row>
    <row r="944" ht="15" customHeight="1">
      <c r="A944" s="35" t="n"/>
      <c r="B944" s="35" t="n"/>
      <c r="C944" s="35" t="n"/>
      <c r="D944" s="35" t="n"/>
    </row>
    <row r="945" ht="15" customHeight="1">
      <c r="A945" s="35" t="n"/>
      <c r="B945" s="35" t="n"/>
      <c r="C945" s="35" t="n"/>
      <c r="D945" s="35" t="n"/>
    </row>
    <row r="946" ht="15" customHeight="1">
      <c r="A946" s="35" t="n"/>
      <c r="B946" s="35" t="n"/>
      <c r="C946" s="35" t="n"/>
      <c r="D946" s="35" t="n"/>
    </row>
    <row r="947" ht="15" customHeight="1">
      <c r="A947" s="35" t="n"/>
      <c r="B947" s="35" t="n"/>
      <c r="C947" s="35" t="n"/>
      <c r="D947" s="35" t="n"/>
    </row>
    <row r="948" ht="15" customHeight="1">
      <c r="A948" s="35" t="n"/>
      <c r="B948" s="35" t="n"/>
      <c r="C948" s="35" t="n"/>
      <c r="D948" s="35" t="n"/>
    </row>
    <row r="949" ht="15" customHeight="1">
      <c r="A949" s="35" t="n"/>
      <c r="B949" s="35" t="n"/>
      <c r="C949" s="35" t="n"/>
      <c r="D949" s="35" t="n"/>
    </row>
    <row r="950" ht="15" customHeight="1">
      <c r="A950" s="35" t="n"/>
      <c r="B950" s="35" t="n"/>
      <c r="C950" s="35" t="n"/>
      <c r="D950" s="35" t="n"/>
    </row>
    <row r="951" ht="15" customHeight="1">
      <c r="A951" s="35" t="n"/>
      <c r="B951" s="35" t="n"/>
      <c r="C951" s="35" t="n"/>
      <c r="D951" s="35" t="n"/>
    </row>
    <row r="952" ht="15" customHeight="1">
      <c r="A952" s="35" t="n"/>
      <c r="B952" s="35" t="n"/>
      <c r="C952" s="35" t="n"/>
      <c r="D952" s="35" t="n"/>
    </row>
    <row r="953" ht="15" customHeight="1">
      <c r="A953" s="35" t="n"/>
      <c r="B953" s="35" t="n"/>
      <c r="C953" s="35" t="n"/>
      <c r="D953" s="35" t="n"/>
    </row>
    <row r="954" ht="15" customHeight="1">
      <c r="A954" s="35" t="n"/>
      <c r="B954" s="35" t="n"/>
      <c r="C954" s="35" t="n"/>
      <c r="D954" s="35" t="n"/>
    </row>
    <row r="955" ht="15" customHeight="1">
      <c r="A955" s="35" t="n"/>
      <c r="B955" s="35" t="n"/>
      <c r="C955" s="35" t="n"/>
      <c r="D955" s="35" t="n"/>
    </row>
    <row r="956" ht="15" customHeight="1">
      <c r="A956" s="35" t="n"/>
      <c r="B956" s="35" t="n"/>
      <c r="C956" s="35" t="n"/>
      <c r="D956" s="35" t="n"/>
    </row>
    <row r="957" ht="15" customHeight="1">
      <c r="A957" s="35" t="n"/>
      <c r="B957" s="35" t="n"/>
      <c r="C957" s="35" t="n"/>
      <c r="D957" s="35" t="n"/>
    </row>
    <row r="958" ht="15" customHeight="1">
      <c r="A958" s="35" t="n"/>
      <c r="B958" s="35" t="n"/>
      <c r="C958" s="35" t="n"/>
      <c r="D958" s="35" t="n"/>
    </row>
    <row r="959" ht="15" customHeight="1">
      <c r="A959" s="35" t="n"/>
      <c r="B959" s="35" t="n"/>
      <c r="C959" s="35" t="n"/>
      <c r="D959" s="35" t="n"/>
    </row>
    <row r="960" ht="15" customHeight="1">
      <c r="A960" s="35" t="n"/>
      <c r="B960" s="35" t="n"/>
      <c r="C960" s="35" t="n"/>
      <c r="D960" s="35" t="n"/>
    </row>
    <row r="961" ht="15" customHeight="1">
      <c r="A961" s="35" t="n"/>
      <c r="B961" s="35" t="n"/>
      <c r="C961" s="35" t="n"/>
      <c r="D961" s="35" t="n"/>
    </row>
    <row r="962" ht="15" customHeight="1">
      <c r="A962" s="35" t="n"/>
      <c r="B962" s="35" t="n"/>
      <c r="C962" s="35" t="n"/>
      <c r="D962" s="35" t="n"/>
    </row>
    <row r="963" ht="15" customHeight="1">
      <c r="A963" s="35" t="n"/>
      <c r="B963" s="35" t="n"/>
      <c r="C963" s="35" t="n"/>
      <c r="D963" s="35" t="n"/>
    </row>
    <row r="964" ht="15" customHeight="1">
      <c r="A964" s="35" t="n"/>
      <c r="B964" s="35" t="n"/>
      <c r="C964" s="35" t="n"/>
      <c r="D964" s="35" t="n"/>
    </row>
    <row r="965" ht="15" customHeight="1">
      <c r="A965" s="35" t="n"/>
      <c r="B965" s="35" t="n"/>
      <c r="C965" s="35" t="n"/>
      <c r="D965" s="35" t="n"/>
    </row>
    <row r="966" ht="15" customHeight="1">
      <c r="A966" s="35" t="n"/>
      <c r="B966" s="35" t="n"/>
      <c r="C966" s="35" t="n"/>
      <c r="D966" s="35" t="n"/>
    </row>
    <row r="967" ht="15" customHeight="1">
      <c r="A967" s="35" t="n"/>
      <c r="B967" s="35" t="n"/>
      <c r="C967" s="35" t="n"/>
      <c r="D967" s="35" t="n"/>
    </row>
    <row r="968" ht="15" customHeight="1">
      <c r="A968" s="35" t="n"/>
      <c r="B968" s="35" t="n"/>
      <c r="C968" s="35" t="n"/>
      <c r="D968" s="35" t="n"/>
    </row>
    <row r="969" ht="15" customHeight="1">
      <c r="A969" s="35" t="n"/>
      <c r="B969" s="35" t="n"/>
      <c r="C969" s="35" t="n"/>
      <c r="D969" s="35" t="n"/>
    </row>
    <row r="970" ht="15" customHeight="1">
      <c r="A970" s="35" t="n"/>
      <c r="B970" s="35" t="n"/>
      <c r="C970" s="35" t="n"/>
      <c r="D970" s="35" t="n"/>
    </row>
    <row r="971" ht="15" customHeight="1">
      <c r="A971" s="35" t="n"/>
      <c r="B971" s="35" t="n"/>
      <c r="C971" s="35" t="n"/>
      <c r="D971" s="35" t="n"/>
    </row>
    <row r="972" ht="15" customHeight="1">
      <c r="A972" s="35" t="n"/>
      <c r="B972" s="35" t="n"/>
      <c r="C972" s="35" t="n"/>
      <c r="D972" s="35" t="n"/>
    </row>
    <row r="973" ht="15" customHeight="1">
      <c r="A973" s="35" t="n"/>
      <c r="B973" s="35" t="n"/>
      <c r="C973" s="35" t="n"/>
      <c r="D973" s="35" t="n"/>
    </row>
    <row r="974" ht="15" customHeight="1">
      <c r="A974" s="35" t="n"/>
      <c r="B974" s="35" t="n"/>
      <c r="C974" s="35" t="n"/>
      <c r="D974" s="35" t="n"/>
    </row>
    <row r="975" ht="15" customHeight="1">
      <c r="A975" s="35" t="n"/>
      <c r="B975" s="35" t="n"/>
      <c r="C975" s="35" t="n"/>
      <c r="D975" s="35" t="n"/>
    </row>
    <row r="976" ht="15" customHeight="1">
      <c r="A976" s="35" t="n"/>
      <c r="B976" s="35" t="n"/>
      <c r="C976" s="35" t="n"/>
      <c r="D976" s="35" t="n"/>
    </row>
    <row r="977" ht="15" customHeight="1">
      <c r="A977" s="35" t="n"/>
      <c r="B977" s="35" t="n"/>
      <c r="C977" s="35" t="n"/>
      <c r="D977" s="35" t="n"/>
    </row>
    <row r="978" ht="15" customHeight="1">
      <c r="A978" s="35" t="n"/>
      <c r="B978" s="35" t="n"/>
      <c r="C978" s="35" t="n"/>
      <c r="D978" s="35" t="n"/>
    </row>
    <row r="979" ht="15" customHeight="1">
      <c r="A979" s="35" t="n"/>
      <c r="B979" s="35" t="n"/>
      <c r="C979" s="35" t="n"/>
      <c r="D979" s="35" t="n"/>
    </row>
    <row r="980" ht="15" customHeight="1">
      <c r="A980" s="35" t="n"/>
      <c r="B980" s="35" t="n"/>
      <c r="C980" s="35" t="n"/>
      <c r="D980" s="35" t="n"/>
    </row>
    <row r="981" ht="15" customHeight="1">
      <c r="A981" s="35" t="n"/>
      <c r="B981" s="35" t="n"/>
      <c r="C981" s="35" t="n"/>
      <c r="D981" s="35" t="n"/>
    </row>
    <row r="982" ht="15" customHeight="1">
      <c r="A982" s="35" t="n"/>
      <c r="B982" s="35" t="n"/>
      <c r="C982" s="35" t="n"/>
      <c r="D982" s="35" t="n"/>
    </row>
    <row r="983" ht="15" customHeight="1">
      <c r="A983" s="35" t="n"/>
      <c r="B983" s="35" t="n"/>
      <c r="C983" s="35" t="n"/>
      <c r="D983" s="35" t="n"/>
    </row>
    <row r="984" ht="15" customHeight="1">
      <c r="A984" s="35" t="n"/>
      <c r="B984" s="35" t="n"/>
      <c r="C984" s="35" t="n"/>
      <c r="D984" s="35" t="n"/>
    </row>
    <row r="985" ht="15" customHeight="1">
      <c r="A985" s="35" t="n"/>
      <c r="B985" s="35" t="n"/>
      <c r="C985" s="35" t="n"/>
      <c r="D985" s="35" t="n"/>
    </row>
    <row r="986" ht="15" customHeight="1">
      <c r="A986" s="35" t="n"/>
      <c r="B986" s="35" t="n"/>
      <c r="C986" s="35" t="n"/>
      <c r="D986" s="35" t="n"/>
    </row>
    <row r="987" ht="15" customHeight="1">
      <c r="A987" s="35" t="n"/>
      <c r="B987" s="35" t="n"/>
      <c r="C987" s="35" t="n"/>
      <c r="D987" s="35" t="n"/>
    </row>
    <row r="988" ht="15" customHeight="1">
      <c r="A988" s="35" t="n"/>
      <c r="B988" s="35" t="n"/>
      <c r="C988" s="35" t="n"/>
      <c r="D988" s="35" t="n"/>
    </row>
    <row r="989" ht="15" customHeight="1">
      <c r="A989" s="35" t="n"/>
      <c r="B989" s="35" t="n"/>
      <c r="C989" s="35" t="n"/>
      <c r="D989" s="35" t="n"/>
    </row>
    <row r="990" ht="15" customHeight="1">
      <c r="A990" s="35" t="n"/>
      <c r="B990" s="35" t="n"/>
      <c r="C990" s="35" t="n"/>
      <c r="D990" s="35" t="n"/>
    </row>
    <row r="991" ht="15" customHeight="1">
      <c r="A991" s="35" t="n"/>
      <c r="B991" s="35" t="n"/>
      <c r="C991" s="35" t="n"/>
      <c r="D991" s="35" t="n"/>
    </row>
    <row r="992" ht="15" customHeight="1">
      <c r="A992" s="35" t="n"/>
      <c r="B992" s="35" t="n"/>
      <c r="C992" s="35" t="n"/>
      <c r="D992" s="35" t="n"/>
    </row>
    <row r="993" ht="15" customHeight="1">
      <c r="A993" s="35" t="n"/>
      <c r="B993" s="35" t="n"/>
      <c r="C993" s="35" t="n"/>
      <c r="D993" s="35" t="n"/>
    </row>
    <row r="994" ht="15" customHeight="1">
      <c r="A994" s="35" t="n"/>
      <c r="B994" s="35" t="n"/>
      <c r="C994" s="35" t="n"/>
      <c r="D994" s="35" t="n"/>
    </row>
    <row r="995" ht="15" customHeight="1">
      <c r="A995" s="35" t="n"/>
      <c r="B995" s="35" t="n"/>
      <c r="C995" s="35" t="n"/>
      <c r="D995" s="35" t="n"/>
    </row>
    <row r="996" ht="15" customHeight="1">
      <c r="A996" s="35" t="n"/>
      <c r="B996" s="35" t="n"/>
      <c r="C996" s="35" t="n"/>
      <c r="D996" s="35" t="n"/>
    </row>
    <row r="997" ht="15" customHeight="1">
      <c r="A997" s="35" t="n"/>
      <c r="B997" s="35" t="n"/>
      <c r="C997" s="35" t="n"/>
      <c r="D997" s="35" t="n"/>
    </row>
    <row r="998" ht="15" customHeight="1">
      <c r="A998" s="35" t="n"/>
      <c r="B998" s="35" t="n"/>
      <c r="C998" s="35" t="n"/>
      <c r="D998" s="35" t="n"/>
    </row>
    <row r="999" ht="15" customHeight="1">
      <c r="A999" s="35" t="n"/>
      <c r="B999" s="35" t="n"/>
      <c r="C999" s="35" t="n"/>
      <c r="D999" s="35" t="n"/>
    </row>
    <row r="1000" ht="15" customHeight="1">
      <c r="A1000" s="35" t="n"/>
      <c r="B1000" s="35" t="n"/>
      <c r="C1000" s="35" t="n"/>
      <c r="D1000" s="35" t="n"/>
    </row>
    <row r="1001" ht="15" customHeight="1">
      <c r="A1001" s="35" t="n"/>
      <c r="B1001" s="35" t="n"/>
      <c r="C1001" s="35" t="n"/>
      <c r="D1001" s="35" t="n"/>
    </row>
    <row r="1002" ht="15" customHeight="1">
      <c r="A1002" s="35" t="n"/>
      <c r="B1002" s="35" t="n"/>
      <c r="C1002" s="35" t="n"/>
      <c r="D1002" s="35" t="n"/>
    </row>
    <row r="1003" ht="15" customHeight="1">
      <c r="A1003" s="35" t="n"/>
      <c r="B1003" s="35" t="n"/>
      <c r="C1003" s="35" t="n"/>
      <c r="D1003" s="35" t="n"/>
    </row>
    <row r="1004" ht="15" customHeight="1">
      <c r="A1004" s="35" t="n"/>
      <c r="B1004" s="35" t="n"/>
      <c r="C1004" s="35" t="n"/>
      <c r="D1004" s="35" t="n"/>
    </row>
    <row r="1005" ht="15" customHeight="1">
      <c r="A1005" s="35" t="n"/>
      <c r="B1005" s="35" t="n"/>
      <c r="C1005" s="35" t="n"/>
      <c r="D1005" s="35" t="n"/>
    </row>
    <row r="1006" ht="15" customHeight="1">
      <c r="A1006" s="35" t="n"/>
      <c r="B1006" s="35" t="n"/>
      <c r="C1006" s="35" t="n"/>
      <c r="D1006" s="35" t="n"/>
    </row>
    <row r="1007" ht="15" customHeight="1">
      <c r="A1007" s="35" t="n"/>
      <c r="B1007" s="35" t="n"/>
      <c r="C1007" s="35" t="n"/>
      <c r="D1007" s="35" t="n"/>
    </row>
    <row r="1008" ht="15" customHeight="1">
      <c r="A1008" s="35" t="n"/>
      <c r="B1008" s="35" t="n"/>
      <c r="C1008" s="35" t="n"/>
      <c r="D1008" s="35" t="n"/>
    </row>
    <row r="1009" ht="15" customHeight="1">
      <c r="A1009" s="35" t="n"/>
      <c r="B1009" s="35" t="n"/>
      <c r="C1009" s="35" t="n"/>
      <c r="D1009" s="35" t="n"/>
    </row>
    <row r="1010" ht="15" customHeight="1">
      <c r="A1010" s="35" t="n"/>
      <c r="B1010" s="35" t="n"/>
      <c r="C1010" s="35" t="n"/>
      <c r="D1010" s="35" t="n"/>
    </row>
    <row r="1011" ht="15" customHeight="1">
      <c r="A1011" s="35" t="n"/>
      <c r="B1011" s="35" t="n"/>
      <c r="C1011" s="35" t="n"/>
      <c r="D1011" s="35" t="n"/>
    </row>
    <row r="1012" ht="15" customHeight="1">
      <c r="A1012" s="35" t="n"/>
      <c r="B1012" s="35" t="n"/>
      <c r="C1012" s="35" t="n"/>
      <c r="D1012" s="35" t="n"/>
    </row>
    <row r="1013" ht="15" customHeight="1">
      <c r="A1013" s="35" t="n"/>
      <c r="B1013" s="35" t="n"/>
      <c r="C1013" s="35" t="n"/>
      <c r="D1013" s="35" t="n"/>
    </row>
    <row r="1014" ht="15" customHeight="1">
      <c r="A1014" s="35" t="n"/>
      <c r="B1014" s="35" t="n"/>
      <c r="C1014" s="35" t="n"/>
      <c r="D1014" s="35" t="n"/>
    </row>
    <row r="1015" ht="15" customHeight="1">
      <c r="A1015" s="35" t="n"/>
      <c r="B1015" s="35" t="n"/>
      <c r="C1015" s="35" t="n"/>
      <c r="D1015" s="35" t="n"/>
    </row>
    <row r="1016" ht="15" customHeight="1">
      <c r="A1016" s="35" t="n"/>
      <c r="B1016" s="35" t="n"/>
      <c r="C1016" s="35" t="n"/>
      <c r="D1016" s="35" t="n"/>
    </row>
    <row r="1017" ht="15" customHeight="1">
      <c r="A1017" s="35" t="n"/>
      <c r="B1017" s="35" t="n"/>
      <c r="C1017" s="35" t="n"/>
      <c r="D1017" s="35" t="n"/>
    </row>
    <row r="1018" ht="15" customHeight="1">
      <c r="A1018" s="35" t="n"/>
      <c r="B1018" s="35" t="n"/>
      <c r="C1018" s="35" t="n"/>
      <c r="D1018" s="35" t="n"/>
    </row>
    <row r="1019" ht="15" customHeight="1">
      <c r="A1019" s="35" t="n"/>
      <c r="B1019" s="35" t="n"/>
      <c r="C1019" s="35" t="n"/>
      <c r="D1019" s="35" t="n"/>
    </row>
    <row r="1020" ht="15" customHeight="1">
      <c r="A1020" s="35" t="n"/>
      <c r="B1020" s="35" t="n"/>
      <c r="C1020" s="35" t="n"/>
      <c r="D1020" s="35" t="n"/>
    </row>
    <row r="1021" ht="15" customHeight="1">
      <c r="A1021" s="35" t="n"/>
      <c r="B1021" s="35" t="n"/>
      <c r="C1021" s="35" t="n"/>
      <c r="D1021" s="35" t="n"/>
    </row>
    <row r="1022" ht="15" customHeight="1">
      <c r="A1022" s="35" t="n"/>
      <c r="B1022" s="35" t="n"/>
      <c r="C1022" s="35" t="n"/>
      <c r="D1022" s="35" t="n"/>
    </row>
    <row r="1023" ht="15" customHeight="1">
      <c r="A1023" s="35" t="n"/>
      <c r="B1023" s="35" t="n"/>
      <c r="C1023" s="35" t="n"/>
      <c r="D1023" s="35" t="n"/>
    </row>
    <row r="1024" ht="15" customHeight="1">
      <c r="A1024" s="35" t="n"/>
      <c r="B1024" s="35" t="n"/>
      <c r="C1024" s="35" t="n"/>
      <c r="D1024" s="35" t="n"/>
    </row>
    <row r="1025" ht="15" customHeight="1">
      <c r="A1025" s="35" t="n"/>
      <c r="B1025" s="35" t="n"/>
      <c r="C1025" s="35" t="n"/>
      <c r="D1025" s="35" t="n"/>
    </row>
    <row r="1026" ht="15" customHeight="1">
      <c r="A1026" s="35" t="n"/>
      <c r="B1026" s="35" t="n"/>
      <c r="C1026" s="35" t="n"/>
      <c r="D1026" s="35" t="n"/>
    </row>
    <row r="1027" ht="15" customHeight="1">
      <c r="A1027" s="35" t="n"/>
      <c r="B1027" s="35" t="n"/>
      <c r="C1027" s="35" t="n"/>
      <c r="D1027" s="35" t="n"/>
    </row>
    <row r="1028" ht="15" customHeight="1">
      <c r="A1028" s="35" t="n"/>
      <c r="B1028" s="35" t="n"/>
      <c r="C1028" s="35" t="n"/>
      <c r="D1028" s="35" t="n"/>
    </row>
    <row r="1029" ht="15" customHeight="1">
      <c r="A1029" s="35" t="n"/>
      <c r="B1029" s="35" t="n"/>
      <c r="C1029" s="35" t="n"/>
      <c r="D1029" s="35" t="n"/>
    </row>
    <row r="1030" ht="15" customHeight="1">
      <c r="A1030" s="35" t="n"/>
      <c r="B1030" s="35" t="n"/>
      <c r="C1030" s="35" t="n"/>
      <c r="D1030" s="35" t="n"/>
    </row>
    <row r="1031" ht="15" customHeight="1">
      <c r="A1031" s="35" t="n"/>
      <c r="B1031" s="35" t="n"/>
      <c r="C1031" s="35" t="n"/>
      <c r="D1031" s="35" t="n"/>
    </row>
    <row r="1032" ht="15" customHeight="1">
      <c r="A1032" s="35" t="n"/>
      <c r="B1032" s="35" t="n"/>
      <c r="C1032" s="35" t="n"/>
      <c r="D1032" s="35" t="n"/>
    </row>
    <row r="1033" ht="15" customHeight="1">
      <c r="A1033" s="35" t="n"/>
      <c r="B1033" s="35" t="n"/>
      <c r="C1033" s="35" t="n"/>
      <c r="D1033" s="35" t="n"/>
    </row>
    <row r="1034" ht="15" customHeight="1">
      <c r="A1034" s="35" t="n"/>
      <c r="B1034" s="35" t="n"/>
      <c r="C1034" s="35" t="n"/>
      <c r="D1034" s="35" t="n"/>
    </row>
    <row r="1035" ht="15" customHeight="1">
      <c r="A1035" s="35" t="n"/>
      <c r="B1035" s="35" t="n"/>
      <c r="C1035" s="35" t="n"/>
      <c r="D1035" s="35" t="n"/>
    </row>
    <row r="1036" ht="15" customHeight="1">
      <c r="A1036" s="35" t="n"/>
      <c r="B1036" s="35" t="n"/>
      <c r="C1036" s="35" t="n"/>
      <c r="D1036" s="35" t="n"/>
    </row>
    <row r="1037" ht="15" customHeight="1">
      <c r="A1037" s="35" t="n"/>
      <c r="B1037" s="35" t="n"/>
      <c r="C1037" s="35" t="n"/>
      <c r="D1037" s="35" t="n"/>
    </row>
    <row r="1038" ht="15" customHeight="1">
      <c r="A1038" s="35" t="n"/>
      <c r="B1038" s="35" t="n"/>
      <c r="C1038" s="35" t="n"/>
      <c r="D1038" s="35" t="n"/>
    </row>
    <row r="1039" ht="15" customHeight="1">
      <c r="A1039" s="35" t="n"/>
      <c r="B1039" s="35" t="n"/>
      <c r="C1039" s="35" t="n"/>
      <c r="D1039" s="35" t="n"/>
    </row>
    <row r="1040" ht="15" customHeight="1">
      <c r="A1040" s="35" t="n"/>
      <c r="B1040" s="35" t="n"/>
      <c r="C1040" s="35" t="n"/>
      <c r="D1040" s="35" t="n"/>
    </row>
    <row r="1041" ht="15" customHeight="1">
      <c r="A1041" s="35" t="n"/>
      <c r="B1041" s="35" t="n"/>
      <c r="C1041" s="35" t="n"/>
      <c r="D1041" s="35" t="n"/>
    </row>
    <row r="1042" ht="15" customHeight="1">
      <c r="A1042" s="35" t="n"/>
      <c r="B1042" s="35" t="n"/>
      <c r="C1042" s="35" t="n"/>
      <c r="D1042" s="35" t="n"/>
    </row>
    <row r="1043" ht="15" customHeight="1">
      <c r="A1043" s="35" t="n"/>
      <c r="B1043" s="35" t="n"/>
      <c r="C1043" s="35" t="n"/>
      <c r="D1043" s="35" t="n"/>
    </row>
    <row r="1044" ht="15" customHeight="1">
      <c r="A1044" s="35" t="n"/>
      <c r="B1044" s="35" t="n"/>
      <c r="C1044" s="35" t="n"/>
      <c r="D1044" s="35" t="n"/>
    </row>
    <row r="1045" ht="15" customHeight="1">
      <c r="A1045" s="35" t="n"/>
      <c r="B1045" s="35" t="n"/>
      <c r="C1045" s="35" t="n"/>
      <c r="D1045" s="35" t="n"/>
    </row>
    <row r="1046" ht="15" customHeight="1">
      <c r="A1046" s="35" t="n"/>
      <c r="B1046" s="35" t="n"/>
      <c r="C1046" s="35" t="n"/>
      <c r="D1046" s="35" t="n"/>
    </row>
    <row r="1047" ht="15" customHeight="1">
      <c r="A1047" s="35" t="n"/>
      <c r="B1047" s="35" t="n"/>
      <c r="C1047" s="35" t="n"/>
      <c r="D1047" s="35" t="n"/>
    </row>
    <row r="1048" ht="15" customHeight="1">
      <c r="A1048" s="35" t="n"/>
      <c r="B1048" s="35" t="n"/>
      <c r="C1048" s="35" t="n"/>
      <c r="D1048" s="35" t="n"/>
    </row>
    <row r="1049" ht="15" customHeight="1">
      <c r="A1049" s="35" t="n"/>
      <c r="B1049" s="35" t="n"/>
      <c r="C1049" s="35" t="n"/>
      <c r="D1049" s="35" t="n"/>
    </row>
    <row r="1050" ht="15" customHeight="1">
      <c r="A1050" s="35" t="n"/>
      <c r="B1050" s="35" t="n"/>
      <c r="C1050" s="35" t="n"/>
      <c r="D1050" s="35" t="n"/>
    </row>
    <row r="1051" ht="15" customHeight="1">
      <c r="A1051" s="35" t="n"/>
      <c r="B1051" s="35" t="n"/>
      <c r="C1051" s="35" t="n"/>
      <c r="D1051" s="35" t="n"/>
    </row>
    <row r="1052" ht="15" customHeight="1">
      <c r="A1052" s="35" t="n"/>
      <c r="B1052" s="35" t="n"/>
      <c r="C1052" s="35" t="n"/>
      <c r="D1052" s="35" t="n"/>
    </row>
    <row r="1053" ht="15" customHeight="1">
      <c r="A1053" s="35" t="n"/>
      <c r="B1053" s="35" t="n"/>
      <c r="C1053" s="35" t="n"/>
      <c r="D1053" s="35" t="n"/>
    </row>
    <row r="1054" ht="15" customHeight="1">
      <c r="A1054" s="35" t="n"/>
      <c r="B1054" s="35" t="n"/>
      <c r="C1054" s="35" t="n"/>
      <c r="D1054" s="35" t="n"/>
    </row>
    <row r="1055" ht="15" customHeight="1">
      <c r="A1055" s="35" t="n"/>
      <c r="B1055" s="35" t="n"/>
      <c r="C1055" s="35" t="n"/>
      <c r="D1055" s="35" t="n"/>
    </row>
    <row r="1056" ht="15" customHeight="1">
      <c r="A1056" s="35" t="n"/>
      <c r="B1056" s="35" t="n"/>
      <c r="C1056" s="35" t="n"/>
      <c r="D1056" s="35" t="n"/>
    </row>
    <row r="1057" ht="15" customHeight="1">
      <c r="A1057" s="35" t="n"/>
      <c r="B1057" s="35" t="n"/>
      <c r="C1057" s="35" t="n"/>
      <c r="D1057" s="35" t="n"/>
    </row>
    <row r="1058" ht="15" customHeight="1">
      <c r="A1058" s="35" t="n"/>
      <c r="B1058" s="35" t="n"/>
      <c r="C1058" s="35" t="n"/>
      <c r="D1058" s="35" t="n"/>
    </row>
    <row r="1059" ht="15" customHeight="1">
      <c r="A1059" s="35" t="n"/>
      <c r="B1059" s="35" t="n"/>
      <c r="C1059" s="35" t="n"/>
      <c r="D1059" s="35" t="n"/>
    </row>
    <row r="1060" ht="15" customHeight="1">
      <c r="A1060" s="35" t="n"/>
      <c r="B1060" s="35" t="n"/>
      <c r="C1060" s="35" t="n"/>
      <c r="D1060" s="35" t="n"/>
    </row>
    <row r="1061" ht="15" customHeight="1">
      <c r="A1061" s="35" t="n"/>
      <c r="B1061" s="35" t="n"/>
      <c r="C1061" s="35" t="n"/>
      <c r="D1061" s="35" t="n"/>
    </row>
    <row r="1062" ht="15" customHeight="1">
      <c r="A1062" s="35" t="n"/>
      <c r="B1062" s="35" t="n"/>
      <c r="C1062" s="35" t="n"/>
      <c r="D1062" s="35" t="n"/>
    </row>
    <row r="1063" ht="15" customHeight="1">
      <c r="A1063" s="35" t="n"/>
      <c r="B1063" s="35" t="n"/>
      <c r="C1063" s="35" t="n"/>
      <c r="D1063" s="35" t="n"/>
    </row>
    <row r="1064" ht="15" customHeight="1">
      <c r="A1064" s="35" t="n"/>
      <c r="B1064" s="35" t="n"/>
      <c r="C1064" s="35" t="n"/>
      <c r="D1064" s="35" t="n"/>
    </row>
    <row r="1065" ht="15" customHeight="1">
      <c r="A1065" s="35" t="n"/>
      <c r="B1065" s="35" t="n"/>
      <c r="C1065" s="35" t="n"/>
      <c r="D1065" s="35" t="n"/>
    </row>
    <row r="1066" ht="15" customHeight="1">
      <c r="A1066" s="35" t="n"/>
      <c r="B1066" s="35" t="n"/>
      <c r="C1066" s="35" t="n"/>
      <c r="D1066" s="35" t="n"/>
    </row>
    <row r="1067" ht="15" customHeight="1">
      <c r="A1067" s="35" t="n"/>
      <c r="B1067" s="35" t="n"/>
      <c r="C1067" s="35" t="n"/>
      <c r="D1067" s="35" t="n"/>
    </row>
    <row r="1068" ht="15" customHeight="1">
      <c r="A1068" s="35" t="n"/>
      <c r="B1068" s="35" t="n"/>
      <c r="C1068" s="35" t="n"/>
      <c r="D1068" s="35" t="n"/>
    </row>
    <row r="1069" ht="15" customHeight="1">
      <c r="A1069" s="35" t="n"/>
      <c r="B1069" s="35" t="n"/>
      <c r="C1069" s="35" t="n"/>
      <c r="D1069" s="35" t="n"/>
    </row>
    <row r="1070" ht="15" customHeight="1">
      <c r="A1070" s="35" t="n"/>
      <c r="B1070" s="35" t="n"/>
      <c r="C1070" s="35" t="n"/>
      <c r="D1070" s="35" t="n"/>
    </row>
    <row r="1071" ht="15" customHeight="1">
      <c r="A1071" s="35" t="n"/>
      <c r="B1071" s="35" t="n"/>
      <c r="C1071" s="35" t="n"/>
      <c r="D1071" s="35" t="n"/>
    </row>
    <row r="1072" ht="15" customHeight="1">
      <c r="A1072" s="35" t="n"/>
      <c r="B1072" s="35" t="n"/>
      <c r="C1072" s="35" t="n"/>
      <c r="D1072" s="35" t="n"/>
    </row>
    <row r="1073" ht="15" customHeight="1">
      <c r="A1073" s="35" t="n"/>
      <c r="B1073" s="35" t="n"/>
      <c r="C1073" s="35" t="n"/>
      <c r="D1073" s="35" t="n"/>
    </row>
    <row r="1074" ht="15" customHeight="1">
      <c r="A1074" s="35" t="n"/>
      <c r="B1074" s="35" t="n"/>
      <c r="C1074" s="35" t="n"/>
      <c r="D1074" s="35" t="n"/>
    </row>
    <row r="1075" ht="15" customHeight="1">
      <c r="A1075" s="35" t="n"/>
      <c r="B1075" s="35" t="n"/>
      <c r="C1075" s="35" t="n"/>
      <c r="D1075" s="35" t="n"/>
    </row>
    <row r="1076" ht="15" customHeight="1">
      <c r="A1076" s="35" t="n"/>
      <c r="B1076" s="35" t="n"/>
      <c r="C1076" s="35" t="n"/>
      <c r="D1076" s="35" t="n"/>
    </row>
    <row r="1077" ht="15" customHeight="1">
      <c r="A1077" s="35" t="n"/>
      <c r="B1077" s="35" t="n"/>
      <c r="C1077" s="35" t="n"/>
      <c r="D1077" s="35" t="n"/>
    </row>
    <row r="1078" ht="15" customHeight="1">
      <c r="A1078" s="35" t="n"/>
      <c r="B1078" s="35" t="n"/>
      <c r="C1078" s="35" t="n"/>
      <c r="D1078" s="35" t="n"/>
    </row>
    <row r="1079" ht="15" customHeight="1">
      <c r="A1079" s="35" t="n"/>
      <c r="B1079" s="35" t="n"/>
      <c r="C1079" s="35" t="n"/>
      <c r="D1079" s="35" t="n"/>
    </row>
    <row r="1080" ht="15" customHeight="1">
      <c r="A1080" s="35" t="n"/>
      <c r="B1080" s="35" t="n"/>
      <c r="C1080" s="35" t="n"/>
      <c r="D1080" s="35" t="n"/>
    </row>
    <row r="1081" ht="15" customHeight="1">
      <c r="A1081" s="35" t="n"/>
      <c r="B1081" s="35" t="n"/>
      <c r="C1081" s="35" t="n"/>
      <c r="D1081" s="35" t="n"/>
    </row>
    <row r="1082" ht="15" customHeight="1">
      <c r="A1082" s="35" t="n"/>
      <c r="B1082" s="35" t="n"/>
      <c r="C1082" s="35" t="n"/>
      <c r="D1082" s="35" t="n"/>
    </row>
    <row r="1083" ht="15" customHeight="1">
      <c r="A1083" s="35" t="n"/>
      <c r="B1083" s="35" t="n"/>
      <c r="C1083" s="35" t="n"/>
      <c r="D1083" s="35" t="n"/>
    </row>
    <row r="1084" ht="15" customHeight="1">
      <c r="A1084" s="35" t="n"/>
      <c r="B1084" s="35" t="n"/>
      <c r="C1084" s="35" t="n"/>
      <c r="D1084" s="35" t="n"/>
    </row>
    <row r="1085" ht="15" customHeight="1">
      <c r="A1085" s="35" t="n"/>
      <c r="B1085" s="35" t="n"/>
      <c r="C1085" s="35" t="n"/>
      <c r="D1085" s="35" t="n"/>
    </row>
    <row r="1086" ht="15" customHeight="1">
      <c r="A1086" s="35" t="n"/>
      <c r="B1086" s="35" t="n"/>
      <c r="C1086" s="35" t="n"/>
      <c r="D1086" s="35" t="n"/>
    </row>
    <row r="1087" ht="15" customHeight="1">
      <c r="A1087" s="35" t="n"/>
      <c r="B1087" s="35" t="n"/>
      <c r="C1087" s="35" t="n"/>
      <c r="D1087" s="35" t="n"/>
    </row>
    <row r="1088" ht="15" customHeight="1">
      <c r="A1088" s="35" t="n"/>
      <c r="B1088" s="35" t="n"/>
      <c r="C1088" s="35" t="n"/>
      <c r="D1088" s="35" t="n"/>
    </row>
    <row r="1089" ht="15" customHeight="1">
      <c r="A1089" s="35" t="n"/>
      <c r="B1089" s="35" t="n"/>
      <c r="C1089" s="35" t="n"/>
      <c r="D1089" s="35" t="n"/>
    </row>
    <row r="1090" ht="15" customHeight="1">
      <c r="A1090" s="35" t="n"/>
      <c r="B1090" s="35" t="n"/>
      <c r="C1090" s="35" t="n"/>
      <c r="D1090" s="35" t="n"/>
    </row>
    <row r="1091" ht="15" customHeight="1">
      <c r="A1091" s="35" t="n"/>
      <c r="B1091" s="35" t="n"/>
      <c r="C1091" s="35" t="n"/>
      <c r="D1091" s="35" t="n"/>
    </row>
    <row r="1092" ht="15" customHeight="1">
      <c r="A1092" s="35" t="n"/>
      <c r="B1092" s="35" t="n"/>
      <c r="C1092" s="35" t="n"/>
      <c r="D1092" s="35" t="n"/>
    </row>
    <row r="1093" ht="15" customHeight="1">
      <c r="A1093" s="35" t="n"/>
      <c r="B1093" s="35" t="n"/>
      <c r="C1093" s="35" t="n"/>
      <c r="D1093" s="35" t="n"/>
    </row>
    <row r="1094" ht="15" customHeight="1">
      <c r="A1094" s="35" t="n"/>
      <c r="B1094" s="35" t="n"/>
      <c r="C1094" s="35" t="n"/>
      <c r="D1094" s="35" t="n"/>
    </row>
    <row r="1095" ht="15" customHeight="1">
      <c r="A1095" s="35" t="n"/>
      <c r="B1095" s="35" t="n"/>
      <c r="C1095" s="35" t="n"/>
      <c r="D1095" s="35" t="n"/>
    </row>
    <row r="1096" ht="15" customHeight="1">
      <c r="A1096" s="35" t="n"/>
      <c r="B1096" s="35" t="n"/>
      <c r="C1096" s="35" t="n"/>
      <c r="D1096" s="35" t="n"/>
    </row>
    <row r="1097" ht="15" customHeight="1">
      <c r="A1097" s="35" t="n"/>
      <c r="B1097" s="35" t="n"/>
      <c r="C1097" s="35" t="n"/>
      <c r="D1097" s="35" t="n"/>
    </row>
    <row r="1098" ht="15" customHeight="1">
      <c r="A1098" s="35" t="n"/>
      <c r="B1098" s="35" t="n"/>
      <c r="C1098" s="35" t="n"/>
      <c r="D1098" s="35" t="n"/>
    </row>
    <row r="1099" ht="15" customHeight="1">
      <c r="A1099" s="35" t="n"/>
      <c r="B1099" s="35" t="n"/>
      <c r="C1099" s="35" t="n"/>
      <c r="D1099" s="35" t="n"/>
    </row>
    <row r="1100" ht="15" customHeight="1">
      <c r="A1100" s="35" t="n"/>
      <c r="B1100" s="35" t="n"/>
      <c r="C1100" s="35" t="n"/>
      <c r="D1100" s="35" t="n"/>
    </row>
    <row r="1101" ht="15" customHeight="1">
      <c r="A1101" s="35" t="n"/>
      <c r="B1101" s="35" t="n"/>
      <c r="C1101" s="35" t="n"/>
      <c r="D1101" s="35" t="n"/>
    </row>
    <row r="1102" ht="15" customHeight="1">
      <c r="A1102" s="35" t="n"/>
      <c r="B1102" s="35" t="n"/>
      <c r="C1102" s="35" t="n"/>
      <c r="D1102" s="35" t="n"/>
    </row>
    <row r="1103" ht="15" customHeight="1">
      <c r="A1103" s="35" t="n"/>
      <c r="B1103" s="35" t="n"/>
      <c r="C1103" s="35" t="n"/>
      <c r="D1103" s="35" t="n"/>
    </row>
    <row r="1104" ht="15" customHeight="1">
      <c r="A1104" s="35" t="n"/>
      <c r="B1104" s="35" t="n"/>
      <c r="C1104" s="35" t="n"/>
      <c r="D1104" s="35" t="n"/>
    </row>
    <row r="1105" ht="15" customHeight="1">
      <c r="A1105" s="35" t="n"/>
      <c r="B1105" s="35" t="n"/>
      <c r="C1105" s="35" t="n"/>
      <c r="D1105" s="35" t="n"/>
    </row>
    <row r="1106" ht="15" customHeight="1">
      <c r="A1106" s="35" t="n"/>
      <c r="B1106" s="35" t="n"/>
      <c r="C1106" s="35" t="n"/>
      <c r="D1106" s="35" t="n"/>
    </row>
    <row r="1107" ht="15" customHeight="1">
      <c r="A1107" s="35" t="n"/>
      <c r="B1107" s="35" t="n"/>
      <c r="C1107" s="35" t="n"/>
      <c r="D1107" s="35" t="n"/>
    </row>
    <row r="1108" ht="15" customHeight="1">
      <c r="A1108" s="35" t="n"/>
      <c r="B1108" s="35" t="n"/>
      <c r="C1108" s="35" t="n"/>
      <c r="D1108" s="35" t="n"/>
    </row>
    <row r="1109" ht="15" customHeight="1">
      <c r="A1109" s="35" t="n"/>
      <c r="B1109" s="35" t="n"/>
      <c r="C1109" s="35" t="n"/>
      <c r="D1109" s="35" t="n"/>
    </row>
    <row r="1110" ht="15" customHeight="1">
      <c r="A1110" s="35" t="n"/>
      <c r="B1110" s="35" t="n"/>
      <c r="C1110" s="35" t="n"/>
      <c r="D1110" s="35" t="n"/>
    </row>
    <row r="1111" ht="15" customHeight="1">
      <c r="A1111" s="35" t="n"/>
      <c r="B1111" s="35" t="n"/>
      <c r="C1111" s="35" t="n"/>
      <c r="D1111" s="35" t="n"/>
    </row>
    <row r="1112" ht="15" customHeight="1">
      <c r="A1112" s="35" t="n"/>
      <c r="B1112" s="35" t="n"/>
      <c r="C1112" s="35" t="n"/>
      <c r="D1112" s="35" t="n"/>
    </row>
    <row r="1113" ht="15" customHeight="1">
      <c r="A1113" s="35" t="n"/>
      <c r="B1113" s="35" t="n"/>
      <c r="C1113" s="35" t="n"/>
      <c r="D1113" s="35" t="n"/>
    </row>
    <row r="1114" ht="15" customHeight="1">
      <c r="A1114" s="35" t="n"/>
      <c r="B1114" s="35" t="n"/>
      <c r="C1114" s="35" t="n"/>
      <c r="D1114" s="35" t="n"/>
    </row>
    <row r="1115" ht="15" customHeight="1">
      <c r="A1115" s="35" t="n"/>
      <c r="B1115" s="35" t="n"/>
      <c r="C1115" s="35" t="n"/>
      <c r="D1115" s="35" t="n"/>
    </row>
    <row r="1116" ht="15" customHeight="1">
      <c r="A1116" s="35" t="n"/>
      <c r="B1116" s="35" t="n"/>
      <c r="C1116" s="35" t="n"/>
      <c r="D1116" s="35" t="n"/>
    </row>
    <row r="1117" ht="15" customHeight="1">
      <c r="A1117" s="35" t="n"/>
      <c r="B1117" s="35" t="n"/>
      <c r="C1117" s="35" t="n"/>
      <c r="D1117" s="35" t="n"/>
    </row>
    <row r="1118" ht="15" customHeight="1">
      <c r="A1118" s="35" t="n"/>
      <c r="B1118" s="35" t="n"/>
      <c r="C1118" s="35" t="n"/>
      <c r="D1118" s="35" t="n"/>
    </row>
    <row r="1119" ht="15" customHeight="1">
      <c r="A1119" s="35" t="n"/>
      <c r="B1119" s="35" t="n"/>
      <c r="C1119" s="35" t="n"/>
      <c r="D1119" s="35" t="n"/>
    </row>
    <row r="1120" ht="15" customHeight="1">
      <c r="A1120" s="35" t="n"/>
      <c r="B1120" s="35" t="n"/>
      <c r="C1120" s="35" t="n"/>
      <c r="D1120" s="35" t="n"/>
    </row>
    <row r="1121" ht="15" customHeight="1">
      <c r="A1121" s="35" t="n"/>
      <c r="B1121" s="35" t="n"/>
      <c r="C1121" s="35" t="n"/>
      <c r="D1121" s="35" t="n"/>
    </row>
    <row r="1122" ht="15" customHeight="1">
      <c r="A1122" s="35" t="n"/>
      <c r="B1122" s="35" t="n"/>
      <c r="C1122" s="35" t="n"/>
      <c r="D1122" s="35" t="n"/>
    </row>
    <row r="1123" ht="15" customHeight="1">
      <c r="A1123" s="35" t="n"/>
      <c r="B1123" s="35" t="n"/>
      <c r="C1123" s="35" t="n"/>
      <c r="D1123" s="35" t="n"/>
    </row>
    <row r="1124" ht="15" customHeight="1">
      <c r="A1124" s="35" t="n"/>
      <c r="B1124" s="35" t="n"/>
      <c r="C1124" s="35" t="n"/>
      <c r="D1124" s="35" t="n"/>
    </row>
    <row r="1125" ht="15" customHeight="1">
      <c r="A1125" s="35" t="n"/>
      <c r="B1125" s="35" t="n"/>
      <c r="C1125" s="35" t="n"/>
      <c r="D1125" s="35" t="n"/>
    </row>
    <row r="1126" ht="15" customHeight="1">
      <c r="A1126" s="35" t="n"/>
      <c r="B1126" s="35" t="n"/>
      <c r="C1126" s="35" t="n"/>
      <c r="D1126" s="35" t="n"/>
    </row>
    <row r="1127" ht="15" customHeight="1">
      <c r="A1127" s="35" t="n"/>
      <c r="B1127" s="35" t="n"/>
      <c r="C1127" s="35" t="n"/>
      <c r="D1127" s="35" t="n"/>
    </row>
    <row r="1128" ht="15" customHeight="1">
      <c r="A1128" s="35" t="n"/>
      <c r="B1128" s="35" t="n"/>
      <c r="C1128" s="35" t="n"/>
      <c r="D1128" s="35" t="n"/>
    </row>
    <row r="1129" ht="15" customHeight="1">
      <c r="A1129" s="35" t="n"/>
      <c r="B1129" s="35" t="n"/>
      <c r="C1129" s="35" t="n"/>
      <c r="D1129" s="35" t="n"/>
    </row>
    <row r="1130" ht="15" customHeight="1">
      <c r="A1130" s="35" t="n"/>
      <c r="B1130" s="35" t="n"/>
      <c r="C1130" s="35" t="n"/>
      <c r="D1130" s="35" t="n"/>
    </row>
    <row r="1131" ht="15" customHeight="1">
      <c r="A1131" s="35" t="n"/>
      <c r="B1131" s="35" t="n"/>
      <c r="C1131" s="35" t="n"/>
      <c r="D1131" s="35" t="n"/>
    </row>
    <row r="1132" ht="15" customHeight="1">
      <c r="A1132" s="35" t="n"/>
      <c r="B1132" s="35" t="n"/>
      <c r="C1132" s="35" t="n"/>
      <c r="D1132" s="35" t="n"/>
    </row>
    <row r="1133" ht="15" customHeight="1">
      <c r="A1133" s="35" t="n"/>
      <c r="B1133" s="35" t="n"/>
      <c r="C1133" s="35" t="n"/>
      <c r="D1133" s="35" t="n"/>
    </row>
    <row r="1134" ht="15" customHeight="1">
      <c r="A1134" s="35" t="n"/>
      <c r="B1134" s="35" t="n"/>
      <c r="C1134" s="35" t="n"/>
      <c r="D1134" s="35" t="n"/>
    </row>
    <row r="1135" ht="15" customHeight="1">
      <c r="A1135" s="35" t="n"/>
      <c r="B1135" s="35" t="n"/>
      <c r="C1135" s="35" t="n"/>
      <c r="D1135" s="35" t="n"/>
    </row>
    <row r="1136" ht="15" customHeight="1">
      <c r="A1136" s="35" t="n"/>
      <c r="B1136" s="35" t="n"/>
      <c r="C1136" s="35" t="n"/>
      <c r="D1136" s="35" t="n"/>
    </row>
    <row r="1137" ht="15" customHeight="1">
      <c r="A1137" s="35" t="n"/>
      <c r="B1137" s="35" t="n"/>
      <c r="C1137" s="35" t="n"/>
      <c r="D1137" s="35" t="n"/>
    </row>
    <row r="1138" ht="15" customHeight="1">
      <c r="A1138" s="35" t="n"/>
      <c r="B1138" s="35" t="n"/>
      <c r="C1138" s="35" t="n"/>
      <c r="D1138" s="35" t="n"/>
    </row>
    <row r="1139" ht="15" customHeight="1">
      <c r="A1139" s="35" t="n"/>
      <c r="B1139" s="35" t="n"/>
      <c r="C1139" s="35" t="n"/>
      <c r="D1139" s="35" t="n"/>
    </row>
    <row r="1140" ht="15" customHeight="1">
      <c r="A1140" s="35" t="n"/>
      <c r="B1140" s="35" t="n"/>
      <c r="C1140" s="35" t="n"/>
      <c r="D1140" s="35" t="n"/>
    </row>
    <row r="1141" ht="15" customHeight="1">
      <c r="A1141" s="35" t="n"/>
      <c r="B1141" s="35" t="n"/>
      <c r="C1141" s="35" t="n"/>
      <c r="D1141" s="35" t="n"/>
    </row>
    <row r="1142" ht="15" customHeight="1">
      <c r="A1142" s="35" t="n"/>
      <c r="B1142" s="35" t="n"/>
      <c r="C1142" s="35" t="n"/>
      <c r="D1142" s="35" t="n"/>
    </row>
    <row r="1143" ht="15" customHeight="1">
      <c r="A1143" s="35" t="n"/>
      <c r="B1143" s="35" t="n"/>
      <c r="C1143" s="35" t="n"/>
      <c r="D1143" s="35" t="n"/>
    </row>
    <row r="1144" ht="15" customHeight="1">
      <c r="A1144" s="35" t="n"/>
      <c r="B1144" s="35" t="n"/>
      <c r="C1144" s="35" t="n"/>
      <c r="D1144" s="35" t="n"/>
    </row>
    <row r="1145" ht="15" customHeight="1">
      <c r="A1145" s="35" t="n"/>
      <c r="B1145" s="35" t="n"/>
      <c r="C1145" s="35" t="n"/>
      <c r="D1145" s="35" t="n"/>
    </row>
    <row r="1146" ht="15" customHeight="1">
      <c r="A1146" s="35" t="n"/>
      <c r="B1146" s="35" t="n"/>
      <c r="C1146" s="35" t="n"/>
      <c r="D1146" s="35" t="n"/>
    </row>
    <row r="1147" ht="15" customHeight="1">
      <c r="A1147" s="35" t="n"/>
      <c r="B1147" s="35" t="n"/>
      <c r="C1147" s="35" t="n"/>
      <c r="D1147" s="35" t="n"/>
    </row>
    <row r="1148" ht="15" customHeight="1">
      <c r="A1148" s="35" t="n"/>
      <c r="B1148" s="35" t="n"/>
      <c r="C1148" s="35" t="n"/>
      <c r="D1148" s="35" t="n"/>
    </row>
    <row r="1149" ht="15" customHeight="1">
      <c r="A1149" s="35" t="n"/>
      <c r="B1149" s="35" t="n"/>
      <c r="C1149" s="35" t="n"/>
      <c r="D1149" s="35" t="n"/>
    </row>
    <row r="1150" ht="15" customHeight="1">
      <c r="A1150" s="35" t="n"/>
      <c r="B1150" s="35" t="n"/>
      <c r="C1150" s="35" t="n"/>
      <c r="D1150" s="35" t="n"/>
    </row>
    <row r="1151" ht="15" customHeight="1">
      <c r="A1151" s="35" t="n"/>
      <c r="B1151" s="35" t="n"/>
      <c r="C1151" s="35" t="n"/>
      <c r="D1151" s="35" t="n"/>
    </row>
    <row r="1152" ht="15" customHeight="1">
      <c r="A1152" s="35" t="n"/>
      <c r="B1152" s="35" t="n"/>
      <c r="C1152" s="35" t="n"/>
      <c r="D1152" s="35" t="n"/>
    </row>
    <row r="1153" ht="15" customHeight="1">
      <c r="A1153" s="35" t="n"/>
      <c r="B1153" s="35" t="n"/>
      <c r="C1153" s="35" t="n"/>
      <c r="D1153" s="35" t="n"/>
    </row>
    <row r="1154" ht="15" customHeight="1">
      <c r="A1154" s="35" t="n"/>
      <c r="B1154" s="35" t="n"/>
      <c r="C1154" s="35" t="n"/>
      <c r="D1154" s="35" t="n"/>
    </row>
    <row r="1155" ht="15" customHeight="1">
      <c r="A1155" s="35" t="n"/>
      <c r="B1155" s="35" t="n"/>
      <c r="C1155" s="35" t="n"/>
      <c r="D1155" s="35" t="n"/>
    </row>
    <row r="1156" ht="15" customHeight="1">
      <c r="A1156" s="35" t="n"/>
      <c r="B1156" s="35" t="n"/>
      <c r="C1156" s="35" t="n"/>
      <c r="D1156" s="35" t="n"/>
    </row>
    <row r="1157" ht="15" customHeight="1">
      <c r="A1157" s="35" t="n"/>
      <c r="B1157" s="35" t="n"/>
      <c r="C1157" s="35" t="n"/>
      <c r="D1157" s="35" t="n"/>
    </row>
    <row r="1158" ht="15" customHeight="1">
      <c r="A1158" s="35" t="n"/>
      <c r="B1158" s="35" t="n"/>
      <c r="C1158" s="35" t="n"/>
      <c r="D1158" s="35" t="n"/>
    </row>
    <row r="1159" ht="15" customHeight="1">
      <c r="A1159" s="35" t="n"/>
      <c r="B1159" s="35" t="n"/>
      <c r="C1159" s="35" t="n"/>
      <c r="D1159" s="35" t="n"/>
    </row>
    <row r="1160" ht="15" customHeight="1">
      <c r="A1160" s="35" t="n"/>
      <c r="B1160" s="35" t="n"/>
      <c r="C1160" s="35" t="n"/>
      <c r="D1160" s="35" t="n"/>
    </row>
    <row r="1161" ht="15" customHeight="1">
      <c r="A1161" s="35" t="n"/>
      <c r="B1161" s="35" t="n"/>
      <c r="C1161" s="35" t="n"/>
      <c r="D1161" s="35" t="n"/>
    </row>
    <row r="1162" ht="15" customHeight="1">
      <c r="A1162" s="35" t="n"/>
      <c r="B1162" s="35" t="n"/>
      <c r="C1162" s="35" t="n"/>
      <c r="D1162" s="35" t="n"/>
    </row>
    <row r="1163" ht="15" customHeight="1">
      <c r="A1163" s="35" t="n"/>
      <c r="B1163" s="35" t="n"/>
      <c r="C1163" s="35" t="n"/>
      <c r="D1163" s="35" t="n"/>
    </row>
    <row r="1164" ht="15" customHeight="1">
      <c r="A1164" s="35" t="n"/>
      <c r="B1164" s="35" t="n"/>
      <c r="C1164" s="35" t="n"/>
      <c r="D1164" s="35" t="n"/>
    </row>
    <row r="1165" ht="15" customHeight="1">
      <c r="A1165" s="35" t="n"/>
      <c r="B1165" s="35" t="n"/>
      <c r="C1165" s="35" t="n"/>
      <c r="D1165" s="35" t="n"/>
    </row>
    <row r="1166" ht="15" customHeight="1">
      <c r="A1166" s="35" t="n"/>
      <c r="B1166" s="35" t="n"/>
      <c r="C1166" s="35" t="n"/>
      <c r="D1166" s="35" t="n"/>
    </row>
    <row r="1167" ht="15" customHeight="1">
      <c r="A1167" s="35" t="n"/>
      <c r="B1167" s="35" t="n"/>
      <c r="C1167" s="35" t="n"/>
      <c r="D1167" s="35" t="n"/>
    </row>
    <row r="1168" ht="15" customHeight="1">
      <c r="A1168" s="35" t="n"/>
      <c r="B1168" s="35" t="n"/>
      <c r="C1168" s="35" t="n"/>
      <c r="D1168" s="35" t="n"/>
    </row>
    <row r="1169" ht="15" customHeight="1">
      <c r="A1169" s="35" t="n"/>
      <c r="B1169" s="35" t="n"/>
      <c r="C1169" s="35" t="n"/>
      <c r="D1169" s="35" t="n"/>
    </row>
    <row r="1170" ht="15" customHeight="1">
      <c r="A1170" s="35" t="n"/>
      <c r="B1170" s="35" t="n"/>
      <c r="C1170" s="35" t="n"/>
      <c r="D1170" s="35" t="n"/>
    </row>
    <row r="1171" ht="15" customHeight="1">
      <c r="A1171" s="35" t="n"/>
      <c r="B1171" s="35" t="n"/>
      <c r="C1171" s="35" t="n"/>
      <c r="D1171" s="35" t="n"/>
    </row>
    <row r="1172" ht="15" customHeight="1">
      <c r="A1172" s="35" t="n"/>
      <c r="B1172" s="35" t="n"/>
      <c r="C1172" s="35" t="n"/>
      <c r="D1172" s="35" t="n"/>
    </row>
    <row r="1173" ht="15" customHeight="1">
      <c r="A1173" s="35" t="n"/>
      <c r="B1173" s="35" t="n"/>
      <c r="C1173" s="35" t="n"/>
      <c r="D1173" s="35" t="n"/>
    </row>
    <row r="1174" ht="15" customHeight="1">
      <c r="A1174" s="35" t="n"/>
      <c r="B1174" s="35" t="n"/>
      <c r="C1174" s="35" t="n"/>
      <c r="D1174" s="35" t="n"/>
    </row>
    <row r="1175" ht="15" customHeight="1">
      <c r="A1175" s="35" t="n"/>
      <c r="B1175" s="35" t="n"/>
      <c r="C1175" s="35" t="n"/>
      <c r="D1175" s="35" t="n"/>
    </row>
    <row r="1176" ht="15" customHeight="1">
      <c r="A1176" s="35" t="n"/>
      <c r="B1176" s="35" t="n"/>
      <c r="C1176" s="35" t="n"/>
      <c r="D1176" s="35" t="n"/>
    </row>
    <row r="1177" ht="15" customHeight="1">
      <c r="A1177" s="35" t="n"/>
      <c r="B1177" s="35" t="n"/>
      <c r="C1177" s="35" t="n"/>
      <c r="D1177" s="35" t="n"/>
    </row>
    <row r="1178" ht="15" customHeight="1">
      <c r="A1178" s="35" t="n"/>
      <c r="B1178" s="35" t="n"/>
      <c r="C1178" s="35" t="n"/>
      <c r="D1178" s="35" t="n"/>
    </row>
    <row r="1179" ht="15" customHeight="1">
      <c r="A1179" s="35" t="n"/>
      <c r="B1179" s="35" t="n"/>
      <c r="C1179" s="35" t="n"/>
      <c r="D1179" s="35" t="n"/>
    </row>
    <row r="1180" ht="15" customHeight="1">
      <c r="A1180" s="35" t="n"/>
      <c r="B1180" s="35" t="n"/>
      <c r="C1180" s="35" t="n"/>
      <c r="D1180" s="35" t="n"/>
    </row>
    <row r="1181" ht="15" customHeight="1">
      <c r="A1181" s="35" t="n"/>
      <c r="B1181" s="35" t="n"/>
      <c r="C1181" s="35" t="n"/>
      <c r="D1181" s="35" t="n"/>
    </row>
    <row r="1182" ht="15" customHeight="1">
      <c r="A1182" s="35" t="n"/>
      <c r="B1182" s="35" t="n"/>
      <c r="C1182" s="35" t="n"/>
      <c r="D1182" s="35" t="n"/>
    </row>
    <row r="1183" ht="15" customHeight="1">
      <c r="A1183" s="35" t="n"/>
      <c r="B1183" s="35" t="n"/>
      <c r="C1183" s="35" t="n"/>
      <c r="D1183" s="35" t="n"/>
    </row>
    <row r="1184" ht="15" customHeight="1">
      <c r="A1184" s="35" t="n"/>
      <c r="B1184" s="35" t="n"/>
      <c r="C1184" s="35" t="n"/>
      <c r="D1184" s="35" t="n"/>
    </row>
    <row r="1185" ht="15" customHeight="1">
      <c r="A1185" s="35" t="n"/>
      <c r="B1185" s="35" t="n"/>
      <c r="C1185" s="35" t="n"/>
      <c r="D1185" s="35" t="n"/>
    </row>
    <row r="1186" ht="15" customHeight="1">
      <c r="A1186" s="35" t="n"/>
      <c r="B1186" s="35" t="n"/>
      <c r="C1186" s="35" t="n"/>
      <c r="D1186" s="35" t="n"/>
    </row>
    <row r="1187" ht="15" customHeight="1">
      <c r="A1187" s="35" t="n"/>
      <c r="B1187" s="35" t="n"/>
      <c r="C1187" s="35" t="n"/>
      <c r="D1187" s="35" t="n"/>
    </row>
    <row r="1188" ht="15" customHeight="1">
      <c r="A1188" s="35" t="n"/>
      <c r="B1188" s="35" t="n"/>
      <c r="C1188" s="35" t="n"/>
      <c r="D1188" s="35" t="n"/>
    </row>
    <row r="1189" ht="15" customHeight="1">
      <c r="A1189" s="35" t="n"/>
      <c r="B1189" s="35" t="n"/>
      <c r="C1189" s="35" t="n"/>
      <c r="D1189" s="35" t="n"/>
    </row>
    <row r="1190" ht="15" customHeight="1">
      <c r="A1190" s="35" t="n"/>
      <c r="B1190" s="35" t="n"/>
      <c r="C1190" s="35" t="n"/>
      <c r="D1190" s="35" t="n"/>
    </row>
    <row r="1191" ht="15" customHeight="1">
      <c r="A1191" s="35" t="n"/>
      <c r="B1191" s="35" t="n"/>
      <c r="C1191" s="35" t="n"/>
      <c r="D1191" s="35" t="n"/>
    </row>
    <row r="1192" ht="15" customHeight="1">
      <c r="A1192" s="35" t="n"/>
      <c r="B1192" s="35" t="n"/>
      <c r="C1192" s="35" t="n"/>
      <c r="D1192" s="35" t="n"/>
    </row>
    <row r="1193" ht="15" customHeight="1">
      <c r="A1193" s="35" t="n"/>
      <c r="B1193" s="35" t="n"/>
      <c r="C1193" s="35" t="n"/>
      <c r="D1193" s="35" t="n"/>
    </row>
    <row r="1194" ht="15" customHeight="1">
      <c r="A1194" s="35" t="n"/>
      <c r="B1194" s="35" t="n"/>
      <c r="C1194" s="35" t="n"/>
      <c r="D1194" s="35" t="n"/>
    </row>
    <row r="1195" ht="15" customHeight="1">
      <c r="A1195" s="35" t="n"/>
      <c r="B1195" s="35" t="n"/>
      <c r="C1195" s="35" t="n"/>
      <c r="D1195" s="35" t="n"/>
    </row>
    <row r="1196" ht="15" customHeight="1">
      <c r="A1196" s="35" t="n"/>
      <c r="B1196" s="35" t="n"/>
      <c r="C1196" s="35" t="n"/>
      <c r="D1196" s="35" t="n"/>
    </row>
    <row r="1197" ht="15" customHeight="1">
      <c r="A1197" s="35" t="n"/>
      <c r="B1197" s="35" t="n"/>
      <c r="C1197" s="35" t="n"/>
      <c r="D1197" s="35" t="n"/>
    </row>
    <row r="1198" ht="15" customHeight="1">
      <c r="A1198" s="35" t="n"/>
      <c r="B1198" s="35" t="n"/>
      <c r="C1198" s="35" t="n"/>
      <c r="D1198" s="35" t="n"/>
    </row>
    <row r="1199" ht="15" customHeight="1">
      <c r="A1199" s="35" t="n"/>
      <c r="B1199" s="35" t="n"/>
      <c r="C1199" s="35" t="n"/>
      <c r="D1199" s="35" t="n"/>
    </row>
    <row r="1200" ht="15" customHeight="1">
      <c r="A1200" s="35" t="n"/>
      <c r="B1200" s="35" t="n"/>
      <c r="C1200" s="35" t="n"/>
      <c r="D1200" s="35" t="n"/>
    </row>
    <row r="1201" ht="15" customHeight="1">
      <c r="A1201" s="35" t="n"/>
      <c r="B1201" s="35" t="n"/>
      <c r="C1201" s="35" t="n"/>
      <c r="D1201" s="35" t="n"/>
    </row>
    <row r="1202" ht="15" customHeight="1">
      <c r="A1202" s="35" t="n"/>
      <c r="B1202" s="35" t="n"/>
      <c r="C1202" s="35" t="n"/>
      <c r="D1202" s="35" t="n"/>
    </row>
    <row r="1203" ht="15" customHeight="1">
      <c r="A1203" s="35" t="n"/>
      <c r="B1203" s="35" t="n"/>
      <c r="C1203" s="35" t="n"/>
      <c r="D1203" s="35" t="n"/>
    </row>
    <row r="1204" ht="15" customHeight="1">
      <c r="A1204" s="35" t="n"/>
      <c r="B1204" s="35" t="n"/>
      <c r="C1204" s="35" t="n"/>
      <c r="D1204" s="35" t="n"/>
    </row>
    <row r="1205" ht="15" customHeight="1">
      <c r="A1205" s="35" t="n"/>
      <c r="B1205" s="35" t="n"/>
      <c r="C1205" s="35" t="n"/>
      <c r="D1205" s="35" t="n"/>
    </row>
    <row r="1206" ht="15" customHeight="1">
      <c r="A1206" s="35" t="n"/>
      <c r="B1206" s="35" t="n"/>
      <c r="C1206" s="35" t="n"/>
      <c r="D1206" s="35" t="n"/>
    </row>
    <row r="1207" ht="15" customHeight="1">
      <c r="A1207" s="35" t="n"/>
      <c r="B1207" s="35" t="n"/>
      <c r="C1207" s="35" t="n"/>
      <c r="D1207" s="35" t="n"/>
    </row>
    <row r="1208" ht="15" customHeight="1">
      <c r="A1208" s="35" t="n"/>
      <c r="B1208" s="35" t="n"/>
      <c r="C1208" s="35" t="n"/>
      <c r="D1208" s="35" t="n"/>
    </row>
    <row r="1209" ht="15" customHeight="1">
      <c r="A1209" s="35" t="n"/>
      <c r="B1209" s="35" t="n"/>
      <c r="C1209" s="35" t="n"/>
      <c r="D1209" s="35" t="n"/>
    </row>
    <row r="1210" ht="15" customHeight="1">
      <c r="A1210" s="35" t="n"/>
      <c r="B1210" s="35" t="n"/>
      <c r="C1210" s="35" t="n"/>
      <c r="D1210" s="35" t="n"/>
    </row>
    <row r="1211" ht="15" customHeight="1">
      <c r="A1211" s="35" t="n"/>
      <c r="B1211" s="35" t="n"/>
      <c r="C1211" s="35" t="n"/>
      <c r="D1211" s="35" t="n"/>
    </row>
    <row r="1212" ht="15" customHeight="1">
      <c r="A1212" s="35" t="n"/>
      <c r="B1212" s="35" t="n"/>
      <c r="C1212" s="35" t="n"/>
      <c r="D1212" s="35" t="n"/>
    </row>
    <row r="1213" ht="15" customHeight="1">
      <c r="A1213" s="35" t="n"/>
      <c r="B1213" s="35" t="n"/>
      <c r="C1213" s="35" t="n"/>
      <c r="D1213" s="35" t="n"/>
    </row>
    <row r="1214" ht="15" customHeight="1">
      <c r="A1214" s="35" t="n"/>
      <c r="B1214" s="35" t="n"/>
      <c r="C1214" s="35" t="n"/>
      <c r="D1214" s="35" t="n"/>
    </row>
    <row r="1215" ht="15" customHeight="1">
      <c r="A1215" s="35" t="n"/>
      <c r="B1215" s="35" t="n"/>
      <c r="C1215" s="35" t="n"/>
      <c r="D1215" s="35" t="n"/>
    </row>
    <row r="1216" ht="15" customHeight="1">
      <c r="A1216" s="35" t="n"/>
      <c r="B1216" s="35" t="n"/>
      <c r="C1216" s="35" t="n"/>
      <c r="D1216" s="35" t="n"/>
    </row>
    <row r="1217" ht="15" customHeight="1">
      <c r="A1217" s="35" t="n"/>
      <c r="B1217" s="35" t="n"/>
      <c r="C1217" s="35" t="n"/>
      <c r="D1217" s="35" t="n"/>
    </row>
    <row r="1218" ht="15" customHeight="1">
      <c r="A1218" s="35" t="n"/>
      <c r="B1218" s="35" t="n"/>
      <c r="C1218" s="35" t="n"/>
      <c r="D1218" s="35" t="n"/>
    </row>
    <row r="1219" ht="15" customHeight="1">
      <c r="A1219" s="35" t="n"/>
      <c r="B1219" s="35" t="n"/>
      <c r="C1219" s="35" t="n"/>
      <c r="D1219" s="35" t="n"/>
    </row>
    <row r="1220" ht="15" customHeight="1">
      <c r="A1220" s="35" t="n"/>
      <c r="B1220" s="35" t="n"/>
      <c r="C1220" s="35" t="n"/>
      <c r="D1220" s="35" t="n"/>
    </row>
    <row r="1221" ht="15" customHeight="1">
      <c r="A1221" s="35" t="n"/>
      <c r="B1221" s="35" t="n"/>
      <c r="C1221" s="35" t="n"/>
      <c r="D1221" s="35" t="n"/>
    </row>
    <row r="1222" ht="15" customHeight="1">
      <c r="A1222" s="35" t="n"/>
      <c r="B1222" s="35" t="n"/>
      <c r="C1222" s="35" t="n"/>
      <c r="D1222" s="35" t="n"/>
    </row>
    <row r="1223" ht="15" customHeight="1">
      <c r="A1223" s="35" t="n"/>
      <c r="B1223" s="35" t="n"/>
      <c r="C1223" s="35" t="n"/>
      <c r="D1223" s="35" t="n"/>
    </row>
    <row r="1224" ht="15" customHeight="1">
      <c r="A1224" s="35" t="n"/>
      <c r="B1224" s="35" t="n"/>
      <c r="C1224" s="35" t="n"/>
      <c r="D1224" s="35" t="n"/>
    </row>
    <row r="1225" ht="15" customHeight="1">
      <c r="A1225" s="35" t="n"/>
      <c r="B1225" s="35" t="n"/>
      <c r="C1225" s="35" t="n"/>
      <c r="D1225" s="35" t="n"/>
    </row>
    <row r="1226" ht="15" customHeight="1">
      <c r="A1226" s="35" t="n"/>
      <c r="B1226" s="35" t="n"/>
      <c r="C1226" s="35" t="n"/>
      <c r="D1226" s="35" t="n"/>
    </row>
    <row r="1227" ht="15" customHeight="1">
      <c r="A1227" s="35" t="n"/>
      <c r="B1227" s="35" t="n"/>
      <c r="C1227" s="35" t="n"/>
      <c r="D1227" s="35" t="n"/>
    </row>
    <row r="1228" ht="15" customHeight="1">
      <c r="A1228" s="35" t="n"/>
      <c r="B1228" s="35" t="n"/>
      <c r="C1228" s="35" t="n"/>
      <c r="D1228" s="35" t="n"/>
    </row>
    <row r="1229" ht="15" customHeight="1">
      <c r="A1229" s="35" t="n"/>
      <c r="B1229" s="35" t="n"/>
      <c r="C1229" s="35" t="n"/>
      <c r="D1229" s="35" t="n"/>
    </row>
    <row r="1230" ht="15" customHeight="1">
      <c r="A1230" s="35" t="n"/>
      <c r="B1230" s="35" t="n"/>
      <c r="C1230" s="35" t="n"/>
      <c r="D1230" s="35" t="n"/>
    </row>
    <row r="1231" ht="15" customHeight="1">
      <c r="A1231" s="35" t="n"/>
      <c r="B1231" s="35" t="n"/>
      <c r="C1231" s="35" t="n"/>
      <c r="D1231" s="35" t="n"/>
    </row>
    <row r="1232" ht="15" customHeight="1">
      <c r="A1232" s="35" t="n"/>
      <c r="B1232" s="35" t="n"/>
      <c r="C1232" s="35" t="n"/>
      <c r="D1232" s="35" t="n"/>
    </row>
    <row r="1233" ht="15" customHeight="1">
      <c r="A1233" s="35" t="n"/>
      <c r="B1233" s="35" t="n"/>
      <c r="C1233" s="35" t="n"/>
      <c r="D1233" s="35" t="n"/>
    </row>
    <row r="1234" ht="15" customHeight="1">
      <c r="A1234" s="35" t="n"/>
      <c r="B1234" s="35" t="n"/>
      <c r="C1234" s="35" t="n"/>
      <c r="D1234" s="35" t="n"/>
    </row>
    <row r="1235" ht="15" customHeight="1">
      <c r="A1235" s="35" t="n"/>
      <c r="B1235" s="35" t="n"/>
      <c r="C1235" s="35" t="n"/>
      <c r="D1235" s="35" t="n"/>
    </row>
    <row r="1236" ht="15" customHeight="1">
      <c r="A1236" s="35" t="n"/>
      <c r="B1236" s="35" t="n"/>
      <c r="C1236" s="35" t="n"/>
      <c r="D1236" s="35" t="n"/>
    </row>
    <row r="1237" ht="15" customHeight="1">
      <c r="A1237" s="35" t="n"/>
      <c r="B1237" s="35" t="n"/>
      <c r="C1237" s="35" t="n"/>
      <c r="D1237" s="35" t="n"/>
    </row>
    <row r="1238" ht="15" customHeight="1">
      <c r="A1238" s="35" t="n"/>
      <c r="B1238" s="35" t="n"/>
      <c r="C1238" s="35" t="n"/>
      <c r="D1238" s="35" t="n"/>
    </row>
    <row r="1239" ht="15" customHeight="1">
      <c r="A1239" s="35" t="n"/>
      <c r="B1239" s="35" t="n"/>
      <c r="C1239" s="35" t="n"/>
      <c r="D1239" s="35" t="n"/>
    </row>
    <row r="1240" ht="15" customHeight="1">
      <c r="A1240" s="35" t="n"/>
      <c r="B1240" s="35" t="n"/>
      <c r="C1240" s="35" t="n"/>
      <c r="D1240" s="35" t="n"/>
    </row>
    <row r="1241" ht="15" customHeight="1">
      <c r="A1241" s="35" t="n"/>
      <c r="B1241" s="35" t="n"/>
      <c r="C1241" s="35" t="n"/>
      <c r="D1241" s="35" t="n"/>
    </row>
    <row r="1242" ht="15" customHeight="1">
      <c r="A1242" s="35" t="n"/>
      <c r="B1242" s="35" t="n"/>
      <c r="C1242" s="35" t="n"/>
      <c r="D1242" s="35" t="n"/>
    </row>
    <row r="1243" ht="15" customHeight="1">
      <c r="A1243" s="35" t="n"/>
      <c r="B1243" s="35" t="n"/>
      <c r="C1243" s="35" t="n"/>
      <c r="D1243" s="35" t="n"/>
    </row>
    <row r="1244" ht="15" customHeight="1">
      <c r="A1244" s="35" t="n"/>
      <c r="B1244" s="35" t="n"/>
      <c r="C1244" s="35" t="n"/>
      <c r="D1244" s="35" t="n"/>
    </row>
    <row r="1245" ht="15" customHeight="1">
      <c r="A1245" s="35" t="n"/>
      <c r="B1245" s="35" t="n"/>
      <c r="C1245" s="35" t="n"/>
      <c r="D1245" s="35" t="n"/>
    </row>
    <row r="1246" ht="15" customHeight="1">
      <c r="A1246" s="35" t="n"/>
      <c r="B1246" s="35" t="n"/>
      <c r="C1246" s="35" t="n"/>
      <c r="D1246" s="35" t="n"/>
    </row>
    <row r="1247" ht="15" customHeight="1">
      <c r="A1247" s="35" t="n"/>
      <c r="B1247" s="35" t="n"/>
      <c r="C1247" s="35" t="n"/>
      <c r="D1247" s="35" t="n"/>
    </row>
    <row r="1248" ht="15" customHeight="1">
      <c r="A1248" s="35" t="n"/>
      <c r="B1248" s="35" t="n"/>
      <c r="C1248" s="35" t="n"/>
      <c r="D1248" s="35" t="n"/>
    </row>
    <row r="1249" ht="15" customHeight="1">
      <c r="A1249" s="35" t="n"/>
      <c r="B1249" s="35" t="n"/>
      <c r="C1249" s="35" t="n"/>
      <c r="D1249" s="35" t="n"/>
    </row>
    <row r="1250" ht="15" customHeight="1">
      <c r="A1250" s="35" t="n"/>
      <c r="B1250" s="35" t="n"/>
      <c r="C1250" s="35" t="n"/>
      <c r="D1250" s="35" t="n"/>
    </row>
    <row r="1251" ht="15" customHeight="1">
      <c r="A1251" s="35" t="n"/>
      <c r="B1251" s="35" t="n"/>
      <c r="C1251" s="35" t="n"/>
      <c r="D1251" s="35" t="n"/>
    </row>
    <row r="1252" ht="15" customHeight="1">
      <c r="A1252" s="35" t="n"/>
      <c r="B1252" s="35" t="n"/>
      <c r="C1252" s="35" t="n"/>
      <c r="D1252" s="35" t="n"/>
    </row>
    <row r="1253" ht="15" customHeight="1">
      <c r="A1253" s="35" t="n"/>
      <c r="B1253" s="35" t="n"/>
      <c r="C1253" s="35" t="n"/>
      <c r="D1253" s="35" t="n"/>
    </row>
    <row r="1254" ht="15" customHeight="1">
      <c r="A1254" s="35" t="n"/>
      <c r="B1254" s="35" t="n"/>
      <c r="C1254" s="35" t="n"/>
      <c r="D1254" s="35" t="n"/>
    </row>
    <row r="1255" ht="15" customHeight="1">
      <c r="A1255" s="35" t="n"/>
      <c r="B1255" s="35" t="n"/>
      <c r="C1255" s="35" t="n"/>
      <c r="D1255" s="35" t="n"/>
    </row>
    <row r="1256" ht="15" customHeight="1">
      <c r="A1256" s="35" t="n"/>
      <c r="B1256" s="35" t="n"/>
      <c r="C1256" s="35" t="n"/>
      <c r="D1256" s="35" t="n"/>
    </row>
    <row r="1257" ht="15" customHeight="1">
      <c r="A1257" s="35" t="n"/>
      <c r="B1257" s="35" t="n"/>
      <c r="C1257" s="35" t="n"/>
      <c r="D1257" s="35" t="n"/>
    </row>
    <row r="1258" ht="15" customHeight="1">
      <c r="A1258" s="35" t="n"/>
      <c r="B1258" s="35" t="n"/>
      <c r="C1258" s="35" t="n"/>
      <c r="D1258" s="35" t="n"/>
    </row>
    <row r="1259" ht="15" customHeight="1">
      <c r="A1259" s="35" t="n"/>
      <c r="B1259" s="35" t="n"/>
      <c r="C1259" s="35" t="n"/>
      <c r="D1259" s="35" t="n"/>
    </row>
    <row r="1260" ht="15" customHeight="1">
      <c r="A1260" s="35" t="n"/>
      <c r="B1260" s="35" t="n"/>
      <c r="C1260" s="35" t="n"/>
      <c r="D1260" s="35" t="n"/>
    </row>
    <row r="1261" ht="15" customHeight="1">
      <c r="A1261" s="35" t="n"/>
      <c r="B1261" s="35" t="n"/>
      <c r="C1261" s="35" t="n"/>
      <c r="D1261" s="35" t="n"/>
    </row>
    <row r="1262" ht="15" customHeight="1">
      <c r="A1262" s="35" t="n"/>
      <c r="B1262" s="35" t="n"/>
      <c r="C1262" s="35" t="n"/>
      <c r="D1262" s="35" t="n"/>
    </row>
    <row r="1263" ht="15" customHeight="1">
      <c r="A1263" s="35" t="n"/>
      <c r="B1263" s="35" t="n"/>
      <c r="C1263" s="35" t="n"/>
      <c r="D1263" s="35" t="n"/>
    </row>
    <row r="1264" ht="15" customHeight="1">
      <c r="A1264" s="35" t="n"/>
      <c r="B1264" s="35" t="n"/>
      <c r="C1264" s="35" t="n"/>
      <c r="D1264" s="35" t="n"/>
    </row>
    <row r="1265" ht="15" customHeight="1">
      <c r="A1265" s="35" t="n"/>
      <c r="B1265" s="35" t="n"/>
      <c r="C1265" s="35" t="n"/>
      <c r="D1265" s="35" t="n"/>
    </row>
    <row r="1266" ht="15" customHeight="1">
      <c r="A1266" s="35" t="n"/>
      <c r="B1266" s="35" t="n"/>
      <c r="C1266" s="35" t="n"/>
      <c r="D1266" s="35" t="n"/>
    </row>
    <row r="1267" ht="15" customHeight="1">
      <c r="A1267" s="35" t="n"/>
      <c r="B1267" s="35" t="n"/>
      <c r="C1267" s="35" t="n"/>
      <c r="D1267" s="35" t="n"/>
    </row>
    <row r="1268" ht="15" customHeight="1">
      <c r="A1268" s="35" t="n"/>
      <c r="B1268" s="35" t="n"/>
      <c r="C1268" s="35" t="n"/>
      <c r="D1268" s="35" t="n"/>
    </row>
    <row r="1269" ht="15" customHeight="1">
      <c r="A1269" s="35" t="n"/>
      <c r="B1269" s="35" t="n"/>
      <c r="C1269" s="35" t="n"/>
      <c r="D1269" s="35" t="n"/>
    </row>
    <row r="1270" ht="15" customHeight="1">
      <c r="A1270" s="35" t="n"/>
      <c r="B1270" s="35" t="n"/>
      <c r="C1270" s="35" t="n"/>
      <c r="D1270" s="35" t="n"/>
    </row>
    <row r="1271" ht="15" customHeight="1">
      <c r="A1271" s="35" t="n"/>
      <c r="B1271" s="35" t="n"/>
      <c r="C1271" s="35" t="n"/>
      <c r="D1271" s="35" t="n"/>
    </row>
    <row r="1272" ht="15" customHeight="1">
      <c r="A1272" s="35" t="n"/>
      <c r="B1272" s="35" t="n"/>
      <c r="C1272" s="35" t="n"/>
      <c r="D1272" s="35" t="n"/>
    </row>
    <row r="1273" ht="15" customHeight="1">
      <c r="A1273" s="35" t="n"/>
      <c r="B1273" s="35" t="n"/>
      <c r="C1273" s="35" t="n"/>
      <c r="D1273" s="35" t="n"/>
    </row>
    <row r="1274" ht="15" customHeight="1">
      <c r="A1274" s="35" t="n"/>
      <c r="B1274" s="35" t="n"/>
      <c r="C1274" s="35" t="n"/>
      <c r="D1274" s="35" t="n"/>
    </row>
    <row r="1275" ht="15" customHeight="1">
      <c r="A1275" s="35" t="n"/>
      <c r="B1275" s="35" t="n"/>
      <c r="C1275" s="35" t="n"/>
      <c r="D1275" s="35" t="n"/>
    </row>
    <row r="1276" ht="15" customHeight="1">
      <c r="A1276" s="35" t="n"/>
      <c r="B1276" s="35" t="n"/>
      <c r="C1276" s="35" t="n"/>
      <c r="D1276" s="35" t="n"/>
    </row>
    <row r="1277" ht="15" customHeight="1">
      <c r="A1277" s="35" t="n"/>
      <c r="B1277" s="35" t="n"/>
      <c r="C1277" s="35" t="n"/>
      <c r="D1277" s="35" t="n"/>
    </row>
    <row r="1278" ht="15" customHeight="1">
      <c r="A1278" s="35" t="n"/>
      <c r="B1278" s="35" t="n"/>
      <c r="C1278" s="35" t="n"/>
      <c r="D1278" s="35" t="n"/>
    </row>
    <row r="1279" ht="15" customHeight="1">
      <c r="A1279" s="35" t="n"/>
      <c r="B1279" s="35" t="n"/>
      <c r="C1279" s="35" t="n"/>
      <c r="D1279" s="35" t="n"/>
    </row>
    <row r="1280" ht="15" customHeight="1">
      <c r="A1280" s="35" t="n"/>
      <c r="B1280" s="35" t="n"/>
      <c r="C1280" s="35" t="n"/>
      <c r="D1280" s="35" t="n"/>
    </row>
    <row r="1281" ht="15" customHeight="1">
      <c r="A1281" s="35" t="n"/>
      <c r="B1281" s="35" t="n"/>
      <c r="C1281" s="35" t="n"/>
      <c r="D1281" s="35" t="n"/>
    </row>
    <row r="1282" ht="15" customHeight="1">
      <c r="A1282" s="35" t="n"/>
      <c r="B1282" s="35" t="n"/>
      <c r="C1282" s="35" t="n"/>
      <c r="D1282" s="35" t="n"/>
    </row>
    <row r="1283" ht="15" customHeight="1">
      <c r="A1283" s="35" t="n"/>
      <c r="B1283" s="35" t="n"/>
      <c r="C1283" s="35" t="n"/>
      <c r="D1283" s="35" t="n"/>
    </row>
    <row r="1284" ht="15" customHeight="1">
      <c r="A1284" s="35" t="n"/>
      <c r="B1284" s="35" t="n"/>
      <c r="C1284" s="35" t="n"/>
      <c r="D1284" s="35" t="n"/>
    </row>
    <row r="1285" ht="15" customHeight="1">
      <c r="A1285" s="35" t="n"/>
      <c r="B1285" s="35" t="n"/>
      <c r="C1285" s="35" t="n"/>
      <c r="D1285" s="35" t="n"/>
    </row>
    <row r="1286" ht="15" customHeight="1">
      <c r="A1286" s="35" t="n"/>
      <c r="B1286" s="35" t="n"/>
      <c r="C1286" s="35" t="n"/>
      <c r="D1286" s="35" t="n"/>
    </row>
    <row r="1287" ht="15" customHeight="1">
      <c r="A1287" s="35" t="n"/>
      <c r="B1287" s="35" t="n"/>
      <c r="C1287" s="35" t="n"/>
      <c r="D1287" s="35" t="n"/>
    </row>
    <row r="1288" ht="15" customHeight="1">
      <c r="A1288" s="35" t="n"/>
      <c r="B1288" s="35" t="n"/>
      <c r="C1288" s="35" t="n"/>
      <c r="D1288" s="35" t="n"/>
    </row>
    <row r="1289" ht="15" customHeight="1">
      <c r="A1289" s="35" t="n"/>
      <c r="B1289" s="35" t="n"/>
      <c r="C1289" s="35" t="n"/>
      <c r="D1289" s="35" t="n"/>
    </row>
    <row r="1290" ht="15" customHeight="1">
      <c r="A1290" s="35" t="n"/>
      <c r="B1290" s="35" t="n"/>
      <c r="C1290" s="35" t="n"/>
      <c r="D1290" s="35" t="n"/>
    </row>
    <row r="1291" ht="15" customHeight="1">
      <c r="A1291" s="35" t="n"/>
      <c r="B1291" s="35" t="n"/>
      <c r="C1291" s="35" t="n"/>
      <c r="D1291" s="35" t="n"/>
    </row>
    <row r="1292" ht="15" customHeight="1">
      <c r="A1292" s="35" t="n"/>
      <c r="B1292" s="35" t="n"/>
      <c r="C1292" s="35" t="n"/>
      <c r="D1292" s="35" t="n"/>
    </row>
    <row r="1293" ht="15" customHeight="1">
      <c r="A1293" s="35" t="n"/>
      <c r="B1293" s="35" t="n"/>
      <c r="C1293" s="35" t="n"/>
      <c r="D1293" s="35" t="n"/>
    </row>
    <row r="1294" ht="15" customHeight="1">
      <c r="A1294" s="35" t="n"/>
      <c r="B1294" s="35" t="n"/>
      <c r="C1294" s="35" t="n"/>
      <c r="D1294" s="35" t="n"/>
    </row>
    <row r="1295" ht="15" customHeight="1">
      <c r="A1295" s="35" t="n"/>
      <c r="B1295" s="35" t="n"/>
      <c r="C1295" s="35" t="n"/>
      <c r="D1295" s="35" t="n"/>
    </row>
    <row r="1296" ht="15" customHeight="1">
      <c r="A1296" s="35" t="n"/>
      <c r="B1296" s="35" t="n"/>
      <c r="C1296" s="35" t="n"/>
      <c r="D1296" s="35" t="n"/>
    </row>
    <row r="1297" ht="15" customHeight="1">
      <c r="A1297" s="35" t="n"/>
      <c r="B1297" s="35" t="n"/>
      <c r="C1297" s="35" t="n"/>
      <c r="D1297" s="35" t="n"/>
    </row>
    <row r="1298" ht="15" customHeight="1">
      <c r="A1298" s="35" t="n"/>
      <c r="B1298" s="35" t="n"/>
      <c r="C1298" s="35" t="n"/>
      <c r="D1298" s="35" t="n"/>
    </row>
    <row r="1299" ht="15" customHeight="1">
      <c r="A1299" s="35" t="n"/>
      <c r="B1299" s="35" t="n"/>
      <c r="C1299" s="35" t="n"/>
      <c r="D1299" s="35" t="n"/>
    </row>
    <row r="1300" ht="15" customHeight="1">
      <c r="A1300" s="35" t="n"/>
      <c r="B1300" s="35" t="n"/>
      <c r="C1300" s="35" t="n"/>
      <c r="D1300" s="35" t="n"/>
    </row>
    <row r="1301" ht="15" customHeight="1">
      <c r="A1301" s="35" t="n"/>
      <c r="B1301" s="35" t="n"/>
      <c r="C1301" s="35" t="n"/>
      <c r="D1301" s="35" t="n"/>
    </row>
    <row r="1302" ht="15" customHeight="1">
      <c r="A1302" s="35" t="n"/>
      <c r="B1302" s="35" t="n"/>
      <c r="C1302" s="35" t="n"/>
      <c r="D1302" s="35" t="n"/>
    </row>
    <row r="1303" ht="15" customHeight="1">
      <c r="A1303" s="35" t="n"/>
      <c r="B1303" s="35" t="n"/>
      <c r="C1303" s="35" t="n"/>
      <c r="D1303" s="35" t="n"/>
    </row>
    <row r="1304" ht="15" customHeight="1">
      <c r="A1304" s="35" t="n"/>
      <c r="B1304" s="35" t="n"/>
      <c r="C1304" s="35" t="n"/>
      <c r="D1304" s="35" t="n"/>
    </row>
    <row r="1305" ht="15" customHeight="1">
      <c r="A1305" s="35" t="n"/>
      <c r="B1305" s="35" t="n"/>
      <c r="C1305" s="35" t="n"/>
      <c r="D1305" s="35" t="n"/>
    </row>
    <row r="1306" ht="15" customHeight="1">
      <c r="A1306" s="35" t="n"/>
      <c r="B1306" s="35" t="n"/>
      <c r="C1306" s="35" t="n"/>
      <c r="D1306" s="35" t="n"/>
    </row>
    <row r="1307" ht="15" customHeight="1">
      <c r="A1307" s="35" t="n"/>
      <c r="B1307" s="35" t="n"/>
      <c r="C1307" s="35" t="n"/>
      <c r="D1307" s="35" t="n"/>
    </row>
    <row r="1308" ht="15" customHeight="1">
      <c r="A1308" s="35" t="n"/>
      <c r="B1308" s="35" t="n"/>
      <c r="C1308" s="35" t="n"/>
      <c r="D1308" s="35" t="n"/>
    </row>
    <row r="1309" ht="15" customHeight="1">
      <c r="A1309" s="35" t="n"/>
      <c r="B1309" s="35" t="n"/>
      <c r="C1309" s="35" t="n"/>
      <c r="D1309" s="35" t="n"/>
    </row>
    <row r="1310" ht="15" customHeight="1">
      <c r="A1310" s="35" t="n"/>
      <c r="B1310" s="35" t="n"/>
      <c r="C1310" s="35" t="n"/>
      <c r="D1310" s="35" t="n"/>
    </row>
    <row r="1311" ht="15" customHeight="1">
      <c r="A1311" s="35" t="n"/>
      <c r="B1311" s="35" t="n"/>
      <c r="C1311" s="35" t="n"/>
      <c r="D1311" s="35" t="n"/>
    </row>
    <row r="1312" ht="15" customHeight="1">
      <c r="A1312" s="35" t="n"/>
      <c r="B1312" s="35" t="n"/>
      <c r="C1312" s="35" t="n"/>
      <c r="D1312" s="35" t="n"/>
    </row>
    <row r="1313" ht="15" customHeight="1">
      <c r="A1313" s="35" t="n"/>
      <c r="B1313" s="35" t="n"/>
      <c r="C1313" s="35" t="n"/>
      <c r="D1313" s="35" t="n"/>
    </row>
    <row r="1314" ht="15" customHeight="1">
      <c r="A1314" s="35" t="n"/>
      <c r="B1314" s="35" t="n"/>
      <c r="C1314" s="35" t="n"/>
      <c r="D1314" s="35" t="n"/>
    </row>
    <row r="1315" ht="15" customHeight="1">
      <c r="A1315" s="35" t="n"/>
      <c r="B1315" s="35" t="n"/>
      <c r="C1315" s="35" t="n"/>
      <c r="D1315" s="35" t="n"/>
    </row>
    <row r="1316" ht="15" customHeight="1">
      <c r="A1316" s="35" t="n"/>
      <c r="B1316" s="35" t="n"/>
      <c r="C1316" s="35" t="n"/>
      <c r="D1316" s="35" t="n"/>
    </row>
    <row r="1317" ht="15" customHeight="1">
      <c r="A1317" s="35" t="n"/>
      <c r="B1317" s="35" t="n"/>
      <c r="C1317" s="35" t="n"/>
      <c r="D1317" s="35" t="n"/>
    </row>
    <row r="1318" ht="15" customHeight="1">
      <c r="A1318" s="35" t="n"/>
      <c r="B1318" s="35" t="n"/>
      <c r="C1318" s="35" t="n"/>
      <c r="D1318" s="35" t="n"/>
    </row>
    <row r="1319" ht="15" customHeight="1">
      <c r="A1319" s="35" t="n"/>
      <c r="B1319" s="35" t="n"/>
      <c r="C1319" s="35" t="n"/>
      <c r="D1319" s="35" t="n"/>
    </row>
    <row r="1320" ht="15" customHeight="1">
      <c r="A1320" s="35" t="n"/>
      <c r="B1320" s="35" t="n"/>
      <c r="C1320" s="35" t="n"/>
      <c r="D1320" s="35" t="n"/>
    </row>
    <row r="1321" ht="15" customHeight="1">
      <c r="A1321" s="35" t="n"/>
      <c r="B1321" s="35" t="n"/>
      <c r="C1321" s="35" t="n"/>
      <c r="D1321" s="35" t="n"/>
    </row>
    <row r="1322" ht="15" customHeight="1">
      <c r="A1322" s="35" t="n"/>
      <c r="B1322" s="35" t="n"/>
      <c r="C1322" s="35" t="n"/>
      <c r="D1322" s="35" t="n"/>
    </row>
    <row r="1323" ht="15" customHeight="1">
      <c r="A1323" s="35" t="n"/>
      <c r="B1323" s="35" t="n"/>
      <c r="C1323" s="35" t="n"/>
      <c r="D1323" s="35" t="n"/>
    </row>
    <row r="1324" ht="15" customHeight="1">
      <c r="A1324" s="35" t="n"/>
      <c r="B1324" s="35" t="n"/>
      <c r="C1324" s="35" t="n"/>
      <c r="D1324" s="35" t="n"/>
    </row>
    <row r="1325" ht="15" customHeight="1">
      <c r="A1325" s="35" t="n"/>
      <c r="B1325" s="35" t="n"/>
      <c r="C1325" s="35" t="n"/>
      <c r="D1325" s="35" t="n"/>
    </row>
    <row r="1326" ht="15" customHeight="1">
      <c r="A1326" s="35" t="n"/>
      <c r="B1326" s="35" t="n"/>
      <c r="C1326" s="35" t="n"/>
      <c r="D1326" s="35" t="n"/>
    </row>
    <row r="1327" ht="15" customHeight="1">
      <c r="A1327" s="35" t="n"/>
      <c r="B1327" s="35" t="n"/>
      <c r="C1327" s="35" t="n"/>
      <c r="D1327" s="35" t="n"/>
    </row>
    <row r="1328" ht="15" customHeight="1">
      <c r="A1328" s="35" t="n"/>
      <c r="B1328" s="35" t="n"/>
      <c r="C1328" s="35" t="n"/>
      <c r="D1328" s="35" t="n"/>
    </row>
    <row r="1329" ht="15" customHeight="1">
      <c r="A1329" s="35" t="n"/>
      <c r="B1329" s="35" t="n"/>
      <c r="C1329" s="35" t="n"/>
      <c r="D1329" s="35" t="n"/>
    </row>
    <row r="1330" ht="15" customHeight="1">
      <c r="A1330" s="35" t="n"/>
      <c r="B1330" s="35" t="n"/>
      <c r="C1330" s="35" t="n"/>
      <c r="D1330" s="35" t="n"/>
    </row>
    <row r="1331" ht="15" customHeight="1">
      <c r="A1331" s="35" t="n"/>
      <c r="B1331" s="35" t="n"/>
      <c r="C1331" s="35" t="n"/>
      <c r="D1331" s="35" t="n"/>
    </row>
    <row r="1332" ht="15" customHeight="1">
      <c r="A1332" s="35" t="n"/>
      <c r="B1332" s="35" t="n"/>
      <c r="C1332" s="35" t="n"/>
      <c r="D1332" s="35" t="n"/>
    </row>
    <row r="1333" ht="15" customHeight="1">
      <c r="A1333" s="35" t="n"/>
      <c r="B1333" s="35" t="n"/>
      <c r="C1333" s="35" t="n"/>
      <c r="D1333" s="35" t="n"/>
    </row>
    <row r="1334" ht="15" customHeight="1">
      <c r="A1334" s="35" t="n"/>
      <c r="B1334" s="35" t="n"/>
      <c r="C1334" s="35" t="n"/>
      <c r="D1334" s="35" t="n"/>
    </row>
    <row r="1335" ht="15" customHeight="1">
      <c r="A1335" s="35" t="n"/>
      <c r="B1335" s="35" t="n"/>
      <c r="C1335" s="35" t="n"/>
      <c r="D1335" s="35" t="n"/>
    </row>
    <row r="1336" ht="15" customHeight="1">
      <c r="A1336" s="35" t="n"/>
      <c r="B1336" s="35" t="n"/>
      <c r="C1336" s="35" t="n"/>
      <c r="D1336" s="35" t="n"/>
    </row>
    <row r="1337" ht="15" customHeight="1">
      <c r="A1337" s="35" t="n"/>
      <c r="B1337" s="35" t="n"/>
      <c r="C1337" s="35" t="n"/>
      <c r="D1337" s="35" t="n"/>
    </row>
    <row r="1338" ht="15" customHeight="1">
      <c r="A1338" s="35" t="n"/>
      <c r="B1338" s="35" t="n"/>
      <c r="C1338" s="35" t="n"/>
      <c r="D1338" s="35" t="n"/>
    </row>
    <row r="1339" ht="15" customHeight="1">
      <c r="A1339" s="35" t="n"/>
      <c r="B1339" s="35" t="n"/>
      <c r="C1339" s="35" t="n"/>
      <c r="D1339" s="35" t="n"/>
    </row>
    <row r="1340" ht="15" customHeight="1">
      <c r="A1340" s="35" t="n"/>
      <c r="B1340" s="35" t="n"/>
      <c r="C1340" s="35" t="n"/>
      <c r="D1340" s="35" t="n"/>
    </row>
    <row r="1341" ht="15" customHeight="1">
      <c r="A1341" s="35" t="n"/>
      <c r="B1341" s="35" t="n"/>
      <c r="C1341" s="35" t="n"/>
      <c r="D1341" s="35" t="n"/>
    </row>
    <row r="1342" ht="15" customHeight="1">
      <c r="A1342" s="35" t="n"/>
      <c r="B1342" s="35" t="n"/>
      <c r="C1342" s="35" t="n"/>
      <c r="D1342" s="35" t="n"/>
    </row>
    <row r="1343" ht="15" customHeight="1">
      <c r="A1343" s="35" t="n"/>
      <c r="B1343" s="35" t="n"/>
      <c r="C1343" s="35" t="n"/>
      <c r="D1343" s="35" t="n"/>
    </row>
    <row r="1344" ht="15" customHeight="1">
      <c r="A1344" s="35" t="n"/>
      <c r="B1344" s="35" t="n"/>
      <c r="C1344" s="35" t="n"/>
      <c r="D1344" s="35" t="n"/>
    </row>
    <row r="1345" ht="15" customHeight="1">
      <c r="A1345" s="35" t="n"/>
      <c r="B1345" s="35" t="n"/>
      <c r="C1345" s="35" t="n"/>
      <c r="D1345" s="35" t="n"/>
    </row>
    <row r="1346" ht="15" customHeight="1">
      <c r="A1346" s="35" t="n"/>
      <c r="B1346" s="35" t="n"/>
      <c r="C1346" s="35" t="n"/>
      <c r="D1346" s="35" t="n"/>
    </row>
    <row r="1347" ht="15" customHeight="1">
      <c r="A1347" s="35" t="n"/>
      <c r="B1347" s="35" t="n"/>
      <c r="C1347" s="35" t="n"/>
      <c r="D1347" s="35" t="n"/>
    </row>
    <row r="1348" ht="15" customHeight="1">
      <c r="A1348" s="35" t="n"/>
      <c r="B1348" s="35" t="n"/>
      <c r="C1348" s="35" t="n"/>
      <c r="D1348" s="35" t="n"/>
    </row>
    <row r="1349" ht="15" customHeight="1">
      <c r="A1349" s="35" t="n"/>
      <c r="B1349" s="35" t="n"/>
      <c r="C1349" s="35" t="n"/>
      <c r="D1349" s="35" t="n"/>
    </row>
    <row r="1350" ht="15" customHeight="1">
      <c r="A1350" s="35" t="n"/>
      <c r="B1350" s="35" t="n"/>
      <c r="C1350" s="35" t="n"/>
      <c r="D1350" s="35" t="n"/>
    </row>
    <row r="1351" ht="15" customHeight="1">
      <c r="A1351" s="35" t="n"/>
      <c r="B1351" s="35" t="n"/>
      <c r="C1351" s="35" t="n"/>
      <c r="D1351" s="35" t="n"/>
    </row>
    <row r="1352" ht="15" customHeight="1">
      <c r="A1352" s="35" t="n"/>
      <c r="B1352" s="35" t="n"/>
      <c r="C1352" s="35" t="n"/>
      <c r="D1352" s="35" t="n"/>
    </row>
    <row r="1353" ht="15" customHeight="1">
      <c r="A1353" s="35" t="n"/>
      <c r="B1353" s="35" t="n"/>
      <c r="C1353" s="35" t="n"/>
      <c r="D1353" s="35" t="n"/>
    </row>
    <row r="1354" ht="15" customHeight="1">
      <c r="A1354" s="35" t="n"/>
      <c r="B1354" s="35" t="n"/>
      <c r="C1354" s="35" t="n"/>
      <c r="D1354" s="35" t="n"/>
    </row>
    <row r="1355" ht="15" customHeight="1">
      <c r="A1355" s="35" t="n"/>
      <c r="B1355" s="35" t="n"/>
      <c r="C1355" s="35" t="n"/>
      <c r="D1355" s="35" t="n"/>
    </row>
    <row r="1356" ht="15" customHeight="1">
      <c r="A1356" s="35" t="n"/>
      <c r="B1356" s="35" t="n"/>
      <c r="C1356" s="35" t="n"/>
      <c r="D1356" s="35" t="n"/>
    </row>
    <row r="1357" ht="15" customHeight="1">
      <c r="A1357" s="35" t="n"/>
      <c r="B1357" s="35" t="n"/>
      <c r="C1357" s="35" t="n"/>
      <c r="D1357" s="35" t="n"/>
    </row>
    <row r="1358" ht="15" customHeight="1">
      <c r="A1358" s="35" t="n"/>
      <c r="B1358" s="35" t="n"/>
      <c r="C1358" s="35" t="n"/>
      <c r="D1358" s="35" t="n"/>
    </row>
    <row r="1359" ht="15" customHeight="1">
      <c r="A1359" s="35" t="n"/>
      <c r="B1359" s="35" t="n"/>
      <c r="C1359" s="35" t="n"/>
      <c r="D1359" s="35" t="n"/>
    </row>
    <row r="1360" ht="15" customHeight="1">
      <c r="A1360" s="35" t="n"/>
      <c r="B1360" s="35" t="n"/>
      <c r="C1360" s="35" t="n"/>
      <c r="D1360" s="35" t="n"/>
    </row>
    <row r="1361" ht="15" customHeight="1">
      <c r="A1361" s="35" t="n"/>
      <c r="B1361" s="35" t="n"/>
      <c r="C1361" s="35" t="n"/>
      <c r="D1361" s="35" t="n"/>
    </row>
    <row r="1362" ht="15" customHeight="1">
      <c r="A1362" s="35" t="n"/>
      <c r="B1362" s="35" t="n"/>
      <c r="C1362" s="35" t="n"/>
      <c r="D1362" s="35" t="n"/>
    </row>
    <row r="1363" ht="15" customHeight="1">
      <c r="A1363" s="35" t="n"/>
      <c r="B1363" s="35" t="n"/>
      <c r="C1363" s="35" t="n"/>
      <c r="D1363" s="35" t="n"/>
    </row>
    <row r="1364" ht="15" customHeight="1">
      <c r="A1364" s="35" t="n"/>
      <c r="B1364" s="35" t="n"/>
      <c r="C1364" s="35" t="n"/>
      <c r="D1364" s="35" t="n"/>
    </row>
    <row r="1365" ht="15" customHeight="1">
      <c r="A1365" s="35" t="n"/>
      <c r="B1365" s="35" t="n"/>
      <c r="C1365" s="35" t="n"/>
      <c r="D1365" s="35" t="n"/>
    </row>
    <row r="1366" ht="15" customHeight="1">
      <c r="A1366" s="35" t="n"/>
      <c r="B1366" s="35" t="n"/>
      <c r="C1366" s="35" t="n"/>
      <c r="D1366" s="35" t="n"/>
    </row>
    <row r="1367" ht="15" customHeight="1">
      <c r="A1367" s="35" t="n"/>
      <c r="B1367" s="35" t="n"/>
      <c r="C1367" s="35" t="n"/>
      <c r="D1367" s="35" t="n"/>
    </row>
    <row r="1368" ht="15" customHeight="1">
      <c r="A1368" s="35" t="n"/>
      <c r="B1368" s="35" t="n"/>
      <c r="C1368" s="35" t="n"/>
      <c r="D1368" s="35" t="n"/>
    </row>
    <row r="1369" ht="15" customHeight="1">
      <c r="A1369" s="35" t="n"/>
      <c r="B1369" s="35" t="n"/>
      <c r="C1369" s="35" t="n"/>
      <c r="D1369" s="35" t="n"/>
    </row>
    <row r="1370" ht="15" customHeight="1">
      <c r="A1370" s="35" t="n"/>
      <c r="B1370" s="35" t="n"/>
      <c r="C1370" s="35" t="n"/>
      <c r="D1370" s="35" t="n"/>
    </row>
    <row r="1371" ht="15" customHeight="1">
      <c r="A1371" s="35" t="n"/>
      <c r="B1371" s="35" t="n"/>
      <c r="C1371" s="35" t="n"/>
      <c r="D1371" s="35" t="n"/>
    </row>
    <row r="1372" ht="15" customHeight="1">
      <c r="A1372" s="35" t="n"/>
      <c r="B1372" s="35" t="n"/>
      <c r="C1372" s="35" t="n"/>
      <c r="D1372" s="35" t="n"/>
    </row>
    <row r="1373" ht="15" customHeight="1">
      <c r="A1373" s="35" t="n"/>
      <c r="B1373" s="35" t="n"/>
      <c r="C1373" s="35" t="n"/>
      <c r="D1373" s="35" t="n"/>
    </row>
    <row r="1374" ht="15" customHeight="1">
      <c r="A1374" s="35" t="n"/>
      <c r="B1374" s="35" t="n"/>
      <c r="C1374" s="35" t="n"/>
      <c r="D1374" s="35" t="n"/>
    </row>
    <row r="1375" ht="15" customHeight="1">
      <c r="A1375" s="35" t="n"/>
      <c r="B1375" s="35" t="n"/>
      <c r="C1375" s="35" t="n"/>
      <c r="D1375" s="35" t="n"/>
    </row>
    <row r="1376" ht="15" customHeight="1">
      <c r="A1376" s="35" t="n"/>
      <c r="B1376" s="35" t="n"/>
      <c r="C1376" s="35" t="n"/>
      <c r="D1376" s="35" t="n"/>
    </row>
    <row r="1377" ht="15" customHeight="1">
      <c r="A1377" s="35" t="n"/>
      <c r="B1377" s="35" t="n"/>
      <c r="C1377" s="35" t="n"/>
      <c r="D1377" s="35" t="n"/>
    </row>
    <row r="1378" ht="15" customHeight="1">
      <c r="A1378" s="35" t="n"/>
      <c r="B1378" s="35" t="n"/>
      <c r="C1378" s="35" t="n"/>
      <c r="D1378" s="35" t="n"/>
    </row>
    <row r="1379" ht="15" customHeight="1">
      <c r="A1379" s="35" t="n"/>
      <c r="B1379" s="35" t="n"/>
      <c r="C1379" s="35" t="n"/>
      <c r="D1379" s="35" t="n"/>
    </row>
    <row r="1380" ht="15" customHeight="1">
      <c r="A1380" s="35" t="n"/>
      <c r="B1380" s="35" t="n"/>
      <c r="C1380" s="35" t="n"/>
      <c r="D1380" s="35" t="n"/>
    </row>
    <row r="1381" ht="15" customHeight="1">
      <c r="A1381" s="35" t="n"/>
      <c r="B1381" s="35" t="n"/>
      <c r="C1381" s="35" t="n"/>
      <c r="D1381" s="35" t="n"/>
    </row>
    <row r="1382" ht="15" customHeight="1">
      <c r="A1382" s="35" t="n"/>
      <c r="B1382" s="35" t="n"/>
      <c r="C1382" s="35" t="n"/>
      <c r="D1382" s="35" t="n"/>
    </row>
    <row r="1383" ht="15" customHeight="1">
      <c r="A1383" s="35" t="n"/>
      <c r="B1383" s="35" t="n"/>
      <c r="C1383" s="35" t="n"/>
      <c r="D1383" s="35" t="n"/>
    </row>
    <row r="1384" ht="15" customHeight="1">
      <c r="A1384" s="35" t="n"/>
      <c r="B1384" s="35" t="n"/>
      <c r="C1384" s="35" t="n"/>
      <c r="D1384" s="35" t="n"/>
    </row>
    <row r="1385" ht="15" customHeight="1">
      <c r="A1385" s="35" t="n"/>
      <c r="B1385" s="35" t="n"/>
      <c r="C1385" s="35" t="n"/>
      <c r="D1385" s="35" t="n"/>
    </row>
    <row r="1386" ht="15" customHeight="1">
      <c r="A1386" s="35" t="n"/>
      <c r="B1386" s="35" t="n"/>
      <c r="C1386" s="35" t="n"/>
      <c r="D1386" s="35" t="n"/>
    </row>
    <row r="1387" ht="15" customHeight="1">
      <c r="A1387" s="35" t="n"/>
      <c r="B1387" s="35" t="n"/>
      <c r="C1387" s="35" t="n"/>
      <c r="D1387" s="35" t="n"/>
    </row>
    <row r="1388" ht="15" customHeight="1">
      <c r="A1388" s="35" t="n"/>
      <c r="B1388" s="35" t="n"/>
      <c r="C1388" s="35" t="n"/>
      <c r="D1388" s="35" t="n"/>
    </row>
    <row r="1389" ht="15" customHeight="1">
      <c r="A1389" s="35" t="n"/>
      <c r="B1389" s="35" t="n"/>
      <c r="C1389" s="35" t="n"/>
      <c r="D1389" s="35" t="n"/>
    </row>
    <row r="1390" ht="15" customHeight="1">
      <c r="A1390" s="35" t="n"/>
      <c r="B1390" s="35" t="n"/>
      <c r="C1390" s="35" t="n"/>
      <c r="D1390" s="35" t="n"/>
    </row>
    <row r="1391" ht="15" customHeight="1">
      <c r="A1391" s="35" t="n"/>
      <c r="B1391" s="35" t="n"/>
      <c r="C1391" s="35" t="n"/>
      <c r="D1391" s="35" t="n"/>
    </row>
    <row r="1392" ht="15" customHeight="1">
      <c r="A1392" s="35" t="n"/>
      <c r="B1392" s="35" t="n"/>
      <c r="C1392" s="35" t="n"/>
      <c r="D1392" s="35" t="n"/>
    </row>
    <row r="1393" ht="15" customHeight="1">
      <c r="A1393" s="35" t="n"/>
      <c r="B1393" s="35" t="n"/>
      <c r="C1393" s="35" t="n"/>
      <c r="D1393" s="35" t="n"/>
    </row>
    <row r="1394" ht="15" customHeight="1">
      <c r="A1394" s="35" t="n"/>
      <c r="B1394" s="35" t="n"/>
      <c r="C1394" s="35" t="n"/>
      <c r="D1394" s="35" t="n"/>
    </row>
    <row r="1395" ht="15" customHeight="1">
      <c r="A1395" s="35" t="n"/>
      <c r="B1395" s="35" t="n"/>
      <c r="C1395" s="35" t="n"/>
      <c r="D1395" s="35" t="n"/>
    </row>
    <row r="1396" ht="15" customHeight="1">
      <c r="A1396" s="35" t="n"/>
      <c r="B1396" s="35" t="n"/>
      <c r="C1396" s="35" t="n"/>
      <c r="D1396" s="35" t="n"/>
    </row>
    <row r="1397" ht="15" customHeight="1">
      <c r="A1397" s="35" t="n"/>
      <c r="B1397" s="35" t="n"/>
      <c r="C1397" s="35" t="n"/>
      <c r="D1397" s="35" t="n"/>
    </row>
    <row r="1398" ht="15" customHeight="1">
      <c r="A1398" s="35" t="n"/>
      <c r="B1398" s="35" t="n"/>
      <c r="C1398" s="35" t="n"/>
      <c r="D1398" s="35" t="n"/>
    </row>
    <row r="1399" ht="15" customHeight="1">
      <c r="A1399" s="35" t="n"/>
      <c r="B1399" s="35" t="n"/>
      <c r="C1399" s="35" t="n"/>
      <c r="D1399" s="35" t="n"/>
    </row>
    <row r="1400" ht="15" customHeight="1">
      <c r="A1400" s="35" t="n"/>
      <c r="B1400" s="35" t="n"/>
      <c r="C1400" s="35" t="n"/>
      <c r="D1400" s="35" t="n"/>
    </row>
    <row r="1401" ht="15" customHeight="1">
      <c r="A1401" s="35" t="n"/>
      <c r="B1401" s="35" t="n"/>
      <c r="C1401" s="35" t="n"/>
      <c r="D1401" s="35" t="n"/>
    </row>
    <row r="1402" ht="15" customHeight="1">
      <c r="A1402" s="35" t="n"/>
      <c r="B1402" s="35" t="n"/>
      <c r="C1402" s="35" t="n"/>
      <c r="D1402" s="35" t="n"/>
    </row>
    <row r="1403" ht="15" customHeight="1">
      <c r="A1403" s="35" t="n"/>
      <c r="B1403" s="35" t="n"/>
      <c r="C1403" s="35" t="n"/>
      <c r="D1403" s="35" t="n"/>
    </row>
    <row r="1404" ht="15" customHeight="1">
      <c r="A1404" s="35" t="n"/>
      <c r="B1404" s="35" t="n"/>
      <c r="C1404" s="35" t="n"/>
      <c r="D1404" s="35" t="n"/>
    </row>
    <row r="1405" ht="15" customHeight="1">
      <c r="A1405" s="35" t="n"/>
      <c r="B1405" s="35" t="n"/>
      <c r="C1405" s="35" t="n"/>
      <c r="D1405" s="35" t="n"/>
    </row>
    <row r="1406" ht="15" customHeight="1">
      <c r="A1406" s="35" t="n"/>
      <c r="B1406" s="35" t="n"/>
      <c r="C1406" s="35" t="n"/>
      <c r="D1406" s="35" t="n"/>
    </row>
    <row r="1407" ht="15" customHeight="1">
      <c r="A1407" s="35" t="n"/>
      <c r="B1407" s="35" t="n"/>
      <c r="C1407" s="35" t="n"/>
      <c r="D1407" s="35" t="n"/>
    </row>
    <row r="1408" ht="15" customHeight="1">
      <c r="A1408" s="35" t="n"/>
      <c r="B1408" s="35" t="n"/>
      <c r="C1408" s="35" t="n"/>
      <c r="D1408" s="35" t="n"/>
    </row>
    <row r="1409" ht="15" customHeight="1">
      <c r="A1409" s="35" t="n"/>
      <c r="B1409" s="35" t="n"/>
      <c r="C1409" s="35" t="n"/>
      <c r="D1409" s="35" t="n"/>
    </row>
    <row r="1410" ht="15" customHeight="1">
      <c r="A1410" s="35" t="n"/>
      <c r="B1410" s="35" t="n"/>
      <c r="C1410" s="35" t="n"/>
      <c r="D1410" s="35" t="n"/>
    </row>
    <row r="1411" ht="15" customHeight="1">
      <c r="A1411" s="35" t="n"/>
      <c r="B1411" s="35" t="n"/>
      <c r="C1411" s="35" t="n"/>
      <c r="D1411" s="35" t="n"/>
    </row>
    <row r="1412" ht="15" customHeight="1">
      <c r="A1412" s="35" t="n"/>
      <c r="B1412" s="35" t="n"/>
      <c r="C1412" s="35" t="n"/>
      <c r="D1412" s="35" t="n"/>
    </row>
    <row r="1413" ht="15" customHeight="1">
      <c r="A1413" s="35" t="n"/>
      <c r="B1413" s="35" t="n"/>
      <c r="C1413" s="35" t="n"/>
      <c r="D1413" s="35" t="n"/>
    </row>
    <row r="1414" ht="15" customHeight="1">
      <c r="A1414" s="35" t="n"/>
      <c r="B1414" s="35" t="n"/>
      <c r="C1414" s="35" t="n"/>
      <c r="D1414" s="35" t="n"/>
    </row>
    <row r="1415" ht="15" customHeight="1">
      <c r="A1415" s="35" t="n"/>
      <c r="B1415" s="35" t="n"/>
      <c r="C1415" s="35" t="n"/>
      <c r="D1415" s="35" t="n"/>
    </row>
    <row r="1416" ht="15" customHeight="1">
      <c r="A1416" s="35" t="n"/>
      <c r="B1416" s="35" t="n"/>
      <c r="C1416" s="35" t="n"/>
      <c r="D1416" s="35" t="n"/>
    </row>
    <row r="1417" ht="15" customHeight="1">
      <c r="A1417" s="35" t="n"/>
      <c r="B1417" s="35" t="n"/>
      <c r="C1417" s="35" t="n"/>
      <c r="D1417" s="35" t="n"/>
    </row>
    <row r="1418" ht="15" customHeight="1">
      <c r="A1418" s="35" t="n"/>
      <c r="B1418" s="35" t="n"/>
      <c r="C1418" s="35" t="n"/>
      <c r="D1418" s="35" t="n"/>
    </row>
    <row r="1419" ht="15" customHeight="1">
      <c r="A1419" s="35" t="n"/>
      <c r="B1419" s="35" t="n"/>
      <c r="C1419" s="35" t="n"/>
      <c r="D1419" s="35" t="n"/>
    </row>
    <row r="1420" ht="15" customHeight="1">
      <c r="A1420" s="35" t="n"/>
      <c r="B1420" s="35" t="n"/>
      <c r="C1420" s="35" t="n"/>
      <c r="D1420" s="35" t="n"/>
    </row>
    <row r="1421" ht="15" customHeight="1">
      <c r="A1421" s="35" t="n"/>
      <c r="B1421" s="35" t="n"/>
      <c r="C1421" s="35" t="n"/>
      <c r="D1421" s="35" t="n"/>
    </row>
    <row r="1422" ht="15" customHeight="1">
      <c r="A1422" s="35" t="n"/>
      <c r="B1422" s="35" t="n"/>
      <c r="C1422" s="35" t="n"/>
      <c r="D1422" s="35" t="n"/>
    </row>
    <row r="1423" ht="15" customHeight="1">
      <c r="A1423" s="35" t="n"/>
      <c r="B1423" s="35" t="n"/>
      <c r="C1423" s="35" t="n"/>
      <c r="D1423" s="35" t="n"/>
    </row>
    <row r="1424" ht="15" customHeight="1">
      <c r="A1424" s="35" t="n"/>
      <c r="B1424" s="35" t="n"/>
      <c r="C1424" s="35" t="n"/>
      <c r="D1424" s="35" t="n"/>
    </row>
    <row r="1425" ht="15" customHeight="1">
      <c r="A1425" s="35" t="n"/>
      <c r="B1425" s="35" t="n"/>
      <c r="C1425" s="35" t="n"/>
      <c r="D1425" s="35" t="n"/>
    </row>
    <row r="1426" ht="15" customHeight="1">
      <c r="A1426" s="35" t="n"/>
      <c r="B1426" s="35" t="n"/>
      <c r="C1426" s="35" t="n"/>
      <c r="D1426" s="35" t="n"/>
    </row>
    <row r="1427" ht="15" customHeight="1">
      <c r="A1427" s="35" t="n"/>
      <c r="B1427" s="35" t="n"/>
      <c r="C1427" s="35" t="n"/>
      <c r="D1427" s="35" t="n"/>
    </row>
    <row r="1428" ht="15" customHeight="1">
      <c r="A1428" s="35" t="n"/>
      <c r="B1428" s="35" t="n"/>
      <c r="C1428" s="35" t="n"/>
      <c r="D1428" s="35" t="n"/>
    </row>
    <row r="1429" ht="15" customHeight="1">
      <c r="A1429" s="35" t="n"/>
      <c r="B1429" s="35" t="n"/>
      <c r="C1429" s="35" t="n"/>
      <c r="D1429" s="35" t="n"/>
    </row>
    <row r="1430" ht="15" customHeight="1">
      <c r="A1430" s="35" t="n"/>
      <c r="B1430" s="35" t="n"/>
      <c r="C1430" s="35" t="n"/>
      <c r="D1430" s="35" t="n"/>
    </row>
    <row r="1431" ht="15" customHeight="1">
      <c r="A1431" s="35" t="n"/>
      <c r="B1431" s="35" t="n"/>
      <c r="C1431" s="35" t="n"/>
      <c r="D1431" s="35" t="n"/>
    </row>
    <row r="1432" ht="15" customHeight="1">
      <c r="A1432" s="35" t="n"/>
      <c r="B1432" s="35" t="n"/>
      <c r="C1432" s="35" t="n"/>
      <c r="D1432" s="35" t="n"/>
    </row>
    <row r="1433" ht="15" customHeight="1">
      <c r="A1433" s="35" t="n"/>
      <c r="B1433" s="35" t="n"/>
      <c r="C1433" s="35" t="n"/>
      <c r="D1433" s="35" t="n"/>
    </row>
    <row r="1434" ht="15" customHeight="1">
      <c r="A1434" s="35" t="n"/>
      <c r="B1434" s="35" t="n"/>
      <c r="C1434" s="35" t="n"/>
      <c r="D1434" s="35" t="n"/>
    </row>
    <row r="1435" ht="15" customHeight="1">
      <c r="A1435" s="35" t="n"/>
      <c r="B1435" s="35" t="n"/>
      <c r="C1435" s="35" t="n"/>
      <c r="D1435" s="35" t="n"/>
    </row>
    <row r="1436" ht="15" customHeight="1">
      <c r="A1436" s="35" t="n"/>
      <c r="B1436" s="35" t="n"/>
      <c r="C1436" s="35" t="n"/>
      <c r="D1436" s="35" t="n"/>
    </row>
    <row r="1437" ht="15" customHeight="1">
      <c r="A1437" s="35" t="n"/>
      <c r="B1437" s="35" t="n"/>
      <c r="C1437" s="35" t="n"/>
      <c r="D1437" s="35" t="n"/>
    </row>
    <row r="1438" ht="15" customHeight="1">
      <c r="A1438" s="35" t="n"/>
      <c r="B1438" s="35" t="n"/>
      <c r="C1438" s="35" t="n"/>
      <c r="D1438" s="35" t="n"/>
    </row>
    <row r="1439" ht="15" customHeight="1">
      <c r="A1439" s="35" t="n"/>
      <c r="B1439" s="35" t="n"/>
      <c r="C1439" s="35" t="n"/>
      <c r="D1439" s="35" t="n"/>
    </row>
    <row r="1440" ht="15" customHeight="1">
      <c r="A1440" s="35" t="n"/>
      <c r="B1440" s="35" t="n"/>
      <c r="C1440" s="35" t="n"/>
      <c r="D1440" s="35" t="n"/>
    </row>
    <row r="1441" ht="15" customHeight="1">
      <c r="A1441" s="35" t="n"/>
      <c r="B1441" s="35" t="n"/>
      <c r="C1441" s="35" t="n"/>
      <c r="D1441" s="35" t="n"/>
    </row>
    <row r="1442" ht="15" customHeight="1">
      <c r="A1442" s="35" t="n"/>
      <c r="B1442" s="35" t="n"/>
      <c r="C1442" s="35" t="n"/>
      <c r="D1442" s="35" t="n"/>
    </row>
    <row r="1443" ht="15" customHeight="1">
      <c r="A1443" s="35" t="n"/>
      <c r="B1443" s="35" t="n"/>
      <c r="C1443" s="35" t="n"/>
      <c r="D1443" s="35" t="n"/>
    </row>
    <row r="1444" ht="15" customHeight="1">
      <c r="A1444" s="35" t="n"/>
      <c r="B1444" s="35" t="n"/>
      <c r="C1444" s="35" t="n"/>
      <c r="D1444" s="35" t="n"/>
    </row>
    <row r="1445" ht="15" customHeight="1">
      <c r="A1445" s="35" t="n"/>
      <c r="B1445" s="35" t="n"/>
      <c r="C1445" s="35" t="n"/>
      <c r="D1445" s="35" t="n"/>
    </row>
    <row r="1446" ht="15" customHeight="1">
      <c r="A1446" s="35" t="n"/>
      <c r="B1446" s="35" t="n"/>
      <c r="C1446" s="35" t="n"/>
      <c r="D1446" s="35" t="n"/>
    </row>
    <row r="1447" ht="15" customHeight="1">
      <c r="A1447" s="35" t="n"/>
      <c r="B1447" s="35" t="n"/>
      <c r="C1447" s="35" t="n"/>
      <c r="D1447" s="35" t="n"/>
    </row>
    <row r="1448" ht="15" customHeight="1">
      <c r="A1448" s="35" t="n"/>
      <c r="B1448" s="35" t="n"/>
      <c r="C1448" s="35" t="n"/>
      <c r="D1448" s="35" t="n"/>
    </row>
    <row r="1449" ht="15" customHeight="1">
      <c r="A1449" s="35" t="n"/>
      <c r="B1449" s="35" t="n"/>
      <c r="C1449" s="35" t="n"/>
      <c r="D1449" s="35" t="n"/>
    </row>
    <row r="1450" ht="15" customHeight="1">
      <c r="A1450" s="35" t="n"/>
      <c r="B1450" s="35" t="n"/>
      <c r="C1450" s="35" t="n"/>
      <c r="D1450" s="35" t="n"/>
    </row>
    <row r="1451" ht="15" customHeight="1">
      <c r="A1451" s="35" t="n"/>
      <c r="B1451" s="35" t="n"/>
      <c r="C1451" s="35" t="n"/>
      <c r="D1451" s="35" t="n"/>
    </row>
    <row r="1452" ht="15" customHeight="1">
      <c r="A1452" s="35" t="n"/>
      <c r="B1452" s="35" t="n"/>
      <c r="C1452" s="35" t="n"/>
      <c r="D1452" s="35" t="n"/>
    </row>
    <row r="1453" ht="15" customHeight="1">
      <c r="A1453" s="35" t="n"/>
      <c r="B1453" s="35" t="n"/>
      <c r="C1453" s="35" t="n"/>
      <c r="D1453" s="35" t="n"/>
    </row>
    <row r="1454" ht="15" customHeight="1">
      <c r="A1454" s="35" t="n"/>
      <c r="B1454" s="35" t="n"/>
      <c r="C1454" s="35" t="n"/>
      <c r="D1454" s="35" t="n"/>
    </row>
    <row r="1455" ht="15" customHeight="1">
      <c r="A1455" s="35" t="n"/>
      <c r="B1455" s="35" t="n"/>
      <c r="C1455" s="35" t="n"/>
      <c r="D1455" s="35" t="n"/>
    </row>
    <row r="1456" ht="15" customHeight="1">
      <c r="A1456" s="35" t="n"/>
      <c r="B1456" s="35" t="n"/>
      <c r="C1456" s="35" t="n"/>
      <c r="D1456" s="35" t="n"/>
    </row>
    <row r="1457" ht="15" customHeight="1">
      <c r="A1457" s="35" t="n"/>
      <c r="B1457" s="35" t="n"/>
      <c r="C1457" s="35" t="n"/>
      <c r="D1457" s="35" t="n"/>
    </row>
    <row r="1458" ht="15" customHeight="1">
      <c r="A1458" s="35" t="n"/>
      <c r="B1458" s="35" t="n"/>
      <c r="C1458" s="35" t="n"/>
      <c r="D1458" s="35" t="n"/>
    </row>
    <row r="1459" ht="15" customHeight="1">
      <c r="A1459" s="35" t="n"/>
      <c r="B1459" s="35" t="n"/>
      <c r="C1459" s="35" t="n"/>
      <c r="D1459" s="35" t="n"/>
    </row>
    <row r="1460" ht="15" customHeight="1">
      <c r="A1460" s="35" t="n"/>
      <c r="B1460" s="35" t="n"/>
      <c r="C1460" s="35" t="n"/>
      <c r="D1460" s="35" t="n"/>
    </row>
    <row r="1461" ht="15" customHeight="1">
      <c r="A1461" s="35" t="n"/>
      <c r="B1461" s="35" t="n"/>
      <c r="C1461" s="35" t="n"/>
      <c r="D1461" s="35" t="n"/>
    </row>
    <row r="1462" ht="15" customHeight="1">
      <c r="A1462" s="35" t="n"/>
      <c r="B1462" s="35" t="n"/>
      <c r="C1462" s="35" t="n"/>
      <c r="D1462" s="35" t="n"/>
    </row>
    <row r="1463" ht="15" customHeight="1">
      <c r="A1463" s="35" t="n"/>
      <c r="B1463" s="35" t="n"/>
      <c r="C1463" s="35" t="n"/>
      <c r="D1463" s="35" t="n"/>
    </row>
    <row r="1464" ht="15" customHeight="1">
      <c r="A1464" s="35" t="n"/>
      <c r="B1464" s="35" t="n"/>
      <c r="C1464" s="35" t="n"/>
      <c r="D1464" s="35" t="n"/>
    </row>
    <row r="1465" ht="15" customHeight="1">
      <c r="A1465" s="35" t="n"/>
      <c r="B1465" s="35" t="n"/>
      <c r="C1465" s="35" t="n"/>
      <c r="D1465" s="35" t="n"/>
    </row>
    <row r="1466" ht="15" customHeight="1">
      <c r="A1466" s="35" t="n"/>
      <c r="B1466" s="35" t="n"/>
      <c r="C1466" s="35" t="n"/>
      <c r="D1466" s="35" t="n"/>
    </row>
    <row r="1467" ht="15" customHeight="1">
      <c r="A1467" s="35" t="n"/>
      <c r="B1467" s="35" t="n"/>
      <c r="C1467" s="35" t="n"/>
      <c r="D1467" s="35" t="n"/>
    </row>
    <row r="1468" ht="15" customHeight="1">
      <c r="A1468" s="35" t="n"/>
      <c r="B1468" s="35" t="n"/>
      <c r="C1468" s="35" t="n"/>
      <c r="D1468" s="35" t="n"/>
    </row>
    <row r="1469" ht="15" customHeight="1">
      <c r="A1469" s="35" t="n"/>
      <c r="B1469" s="35" t="n"/>
      <c r="C1469" s="35" t="n"/>
      <c r="D1469" s="35" t="n"/>
    </row>
    <row r="1470" ht="15" customHeight="1">
      <c r="A1470" s="35" t="n"/>
      <c r="B1470" s="35" t="n"/>
      <c r="C1470" s="35" t="n"/>
      <c r="D1470" s="35" t="n"/>
    </row>
    <row r="1471" ht="15" customHeight="1">
      <c r="A1471" s="35" t="n"/>
      <c r="B1471" s="35" t="n"/>
      <c r="C1471" s="35" t="n"/>
      <c r="D1471" s="35" t="n"/>
    </row>
    <row r="1472" ht="15" customHeight="1">
      <c r="A1472" s="35" t="n"/>
      <c r="B1472" s="35" t="n"/>
      <c r="C1472" s="35" t="n"/>
      <c r="D1472" s="35" t="n"/>
    </row>
    <row r="1473" ht="15" customHeight="1">
      <c r="A1473" s="35" t="n"/>
      <c r="B1473" s="35" t="n"/>
      <c r="C1473" s="35" t="n"/>
      <c r="D1473" s="35" t="n"/>
    </row>
    <row r="1474" ht="15" customHeight="1">
      <c r="A1474" s="35" t="n"/>
      <c r="B1474" s="35" t="n"/>
      <c r="C1474" s="35" t="n"/>
      <c r="D1474" s="35" t="n"/>
    </row>
    <row r="1475" ht="15" customHeight="1">
      <c r="A1475" s="35" t="n"/>
      <c r="B1475" s="35" t="n"/>
      <c r="C1475" s="35" t="n"/>
      <c r="D1475" s="35" t="n"/>
    </row>
    <row r="1476" ht="15" customHeight="1">
      <c r="A1476" s="35" t="n"/>
      <c r="B1476" s="35" t="n"/>
      <c r="C1476" s="35" t="n"/>
      <c r="D1476" s="35" t="n"/>
    </row>
    <row r="1477" ht="15" customHeight="1">
      <c r="A1477" s="35" t="n"/>
      <c r="B1477" s="35" t="n"/>
      <c r="C1477" s="35" t="n"/>
      <c r="D1477" s="35" t="n"/>
    </row>
    <row r="1478" ht="15" customHeight="1">
      <c r="A1478" s="35" t="n"/>
      <c r="B1478" s="35" t="n"/>
      <c r="C1478" s="35" t="n"/>
      <c r="D1478" s="35" t="n"/>
    </row>
    <row r="1479" ht="15" customHeight="1">
      <c r="A1479" s="35" t="n"/>
      <c r="B1479" s="35" t="n"/>
      <c r="C1479" s="35" t="n"/>
      <c r="D1479" s="35" t="n"/>
    </row>
    <row r="1480" ht="15" customHeight="1">
      <c r="A1480" s="35" t="n"/>
      <c r="B1480" s="35" t="n"/>
      <c r="C1480" s="35" t="n"/>
      <c r="D1480" s="35" t="n"/>
    </row>
    <row r="1481" ht="15" customHeight="1">
      <c r="A1481" s="35" t="n"/>
      <c r="B1481" s="35" t="n"/>
      <c r="C1481" s="35" t="n"/>
      <c r="D1481" s="35" t="n"/>
    </row>
    <row r="1482" ht="15" customHeight="1">
      <c r="A1482" s="35" t="n"/>
      <c r="B1482" s="35" t="n"/>
      <c r="C1482" s="35" t="n"/>
      <c r="D1482" s="35" t="n"/>
    </row>
    <row r="1483" ht="15" customHeight="1">
      <c r="A1483" s="35" t="n"/>
      <c r="B1483" s="35" t="n"/>
      <c r="C1483" s="35" t="n"/>
      <c r="D1483" s="35" t="n"/>
    </row>
    <row r="1484" ht="15" customHeight="1">
      <c r="A1484" s="35" t="n"/>
      <c r="B1484" s="35" t="n"/>
      <c r="C1484" s="35" t="n"/>
      <c r="D1484" s="35" t="n"/>
    </row>
    <row r="1485" ht="15" customHeight="1">
      <c r="A1485" s="35" t="n"/>
      <c r="B1485" s="35" t="n"/>
      <c r="C1485" s="35" t="n"/>
      <c r="D1485" s="35" t="n"/>
    </row>
    <row r="1486" ht="15" customHeight="1">
      <c r="A1486" s="35" t="n"/>
      <c r="B1486" s="35" t="n"/>
      <c r="C1486" s="35" t="n"/>
      <c r="D1486" s="35" t="n"/>
    </row>
    <row r="1487" ht="15" customHeight="1">
      <c r="A1487" s="35" t="n"/>
      <c r="B1487" s="35" t="n"/>
      <c r="C1487" s="35" t="n"/>
      <c r="D1487" s="35" t="n"/>
    </row>
    <row r="1488" ht="15" customHeight="1">
      <c r="A1488" s="35" t="n"/>
      <c r="B1488" s="35" t="n"/>
      <c r="C1488" s="35" t="n"/>
      <c r="D1488" s="35" t="n"/>
    </row>
    <row r="1489" ht="15" customHeight="1">
      <c r="A1489" s="35" t="n"/>
      <c r="B1489" s="35" t="n"/>
      <c r="C1489" s="35" t="n"/>
      <c r="D1489" s="35" t="n"/>
    </row>
    <row r="1490" ht="15" customHeight="1">
      <c r="A1490" s="35" t="n"/>
      <c r="B1490" s="35" t="n"/>
      <c r="C1490" s="35" t="n"/>
      <c r="D1490" s="35" t="n"/>
    </row>
    <row r="1491" ht="15" customHeight="1">
      <c r="A1491" s="35" t="n"/>
      <c r="B1491" s="35" t="n"/>
      <c r="C1491" s="35" t="n"/>
      <c r="D1491" s="35" t="n"/>
    </row>
    <row r="1492" ht="15" customHeight="1">
      <c r="A1492" s="35" t="n"/>
      <c r="B1492" s="35" t="n"/>
      <c r="C1492" s="35" t="n"/>
      <c r="D1492" s="35" t="n"/>
    </row>
    <row r="1493" ht="15" customHeight="1">
      <c r="A1493" s="35" t="n"/>
      <c r="B1493" s="35" t="n"/>
      <c r="C1493" s="35" t="n"/>
      <c r="D1493" s="35" t="n"/>
    </row>
    <row r="1494" ht="15" customHeight="1">
      <c r="A1494" s="35" t="n"/>
      <c r="B1494" s="35" t="n"/>
      <c r="C1494" s="35" t="n"/>
      <c r="D1494" s="35" t="n"/>
    </row>
    <row r="1495" ht="15" customHeight="1">
      <c r="A1495" s="35" t="n"/>
      <c r="B1495" s="35" t="n"/>
      <c r="C1495" s="35" t="n"/>
      <c r="D1495" s="35" t="n"/>
    </row>
    <row r="1496" ht="15" customHeight="1">
      <c r="A1496" s="35" t="n"/>
      <c r="B1496" s="35" t="n"/>
      <c r="C1496" s="35" t="n"/>
      <c r="D1496" s="35" t="n"/>
    </row>
    <row r="1497" ht="15" customHeight="1">
      <c r="A1497" s="35" t="n"/>
      <c r="B1497" s="35" t="n"/>
      <c r="C1497" s="35" t="n"/>
      <c r="D1497" s="35" t="n"/>
    </row>
    <row r="1498" ht="15" customHeight="1">
      <c r="A1498" s="35" t="n"/>
      <c r="B1498" s="35" t="n"/>
      <c r="C1498" s="35" t="n"/>
      <c r="D1498" s="35" t="n"/>
    </row>
    <row r="1499" ht="15" customHeight="1">
      <c r="A1499" s="35" t="n"/>
      <c r="B1499" s="35" t="n"/>
      <c r="C1499" s="35" t="n"/>
      <c r="D1499" s="35" t="n"/>
    </row>
    <row r="1500" ht="15" customHeight="1">
      <c r="A1500" s="35" t="n"/>
      <c r="B1500" s="35" t="n"/>
      <c r="C1500" s="35" t="n"/>
      <c r="D1500" s="35" t="n"/>
    </row>
    <row r="1501" ht="15" customHeight="1">
      <c r="A1501" s="35" t="n"/>
      <c r="B1501" s="35" t="n"/>
      <c r="C1501" s="35" t="n"/>
      <c r="D1501" s="35" t="n"/>
    </row>
    <row r="1502" ht="15" customHeight="1">
      <c r="A1502" s="35" t="n"/>
      <c r="B1502" s="35" t="n"/>
      <c r="C1502" s="35" t="n"/>
      <c r="D1502" s="35" t="n"/>
    </row>
    <row r="1503" ht="15" customHeight="1">
      <c r="A1503" s="35" t="n"/>
      <c r="B1503" s="35" t="n"/>
      <c r="C1503" s="35" t="n"/>
      <c r="D1503" s="35" t="n"/>
    </row>
    <row r="1504" ht="15" customHeight="1">
      <c r="A1504" s="35" t="n"/>
      <c r="B1504" s="35" t="n"/>
      <c r="C1504" s="35" t="n"/>
      <c r="D1504" s="35" t="n"/>
    </row>
    <row r="1505" ht="15" customHeight="1">
      <c r="A1505" s="35" t="n"/>
      <c r="B1505" s="35" t="n"/>
      <c r="C1505" s="35" t="n"/>
      <c r="D1505" s="35" t="n"/>
    </row>
    <row r="1506" ht="15" customHeight="1">
      <c r="A1506" s="35" t="n"/>
      <c r="B1506" s="35" t="n"/>
      <c r="C1506" s="35" t="n"/>
      <c r="D1506" s="35" t="n"/>
    </row>
    <row r="1507" ht="15" customHeight="1">
      <c r="A1507" s="35" t="n"/>
      <c r="B1507" s="35" t="n"/>
      <c r="C1507" s="35" t="n"/>
      <c r="D1507" s="35" t="n"/>
    </row>
    <row r="1508" ht="15" customHeight="1">
      <c r="A1508" s="35" t="n"/>
      <c r="B1508" s="35" t="n"/>
      <c r="C1508" s="35" t="n"/>
      <c r="D1508" s="35" t="n"/>
    </row>
    <row r="1509" ht="15" customHeight="1">
      <c r="A1509" s="35" t="n"/>
      <c r="B1509" s="35" t="n"/>
      <c r="C1509" s="35" t="n"/>
      <c r="D1509" s="35" t="n"/>
    </row>
    <row r="1510" ht="15" customHeight="1">
      <c r="A1510" s="35" t="n"/>
      <c r="B1510" s="35" t="n"/>
      <c r="C1510" s="35" t="n"/>
      <c r="D1510" s="35" t="n"/>
    </row>
    <row r="1511" ht="15" customHeight="1">
      <c r="A1511" s="35" t="n"/>
      <c r="B1511" s="35" t="n"/>
      <c r="C1511" s="35" t="n"/>
      <c r="D1511" s="35" t="n"/>
    </row>
    <row r="1512" ht="15" customHeight="1">
      <c r="A1512" s="35" t="n"/>
      <c r="B1512" s="35" t="n"/>
      <c r="C1512" s="35" t="n"/>
      <c r="D1512" s="35" t="n"/>
    </row>
    <row r="1513" ht="15" customHeight="1">
      <c r="A1513" s="35" t="n"/>
      <c r="B1513" s="35" t="n"/>
      <c r="C1513" s="35" t="n"/>
      <c r="D1513" s="35" t="n"/>
    </row>
    <row r="1514" ht="15" customHeight="1">
      <c r="A1514" s="35" t="n"/>
      <c r="B1514" s="35" t="n"/>
      <c r="C1514" s="35" t="n"/>
      <c r="D1514" s="35" t="n"/>
    </row>
    <row r="1515" ht="15" customHeight="1">
      <c r="A1515" s="35" t="n"/>
      <c r="B1515" s="35" t="n"/>
      <c r="C1515" s="35" t="n"/>
      <c r="D1515" s="35" t="n"/>
    </row>
    <row r="1516" ht="15" customHeight="1">
      <c r="A1516" s="35" t="n"/>
      <c r="B1516" s="35" t="n"/>
      <c r="C1516" s="35" t="n"/>
      <c r="D1516" s="35" t="n"/>
    </row>
    <row r="1517" ht="15" customHeight="1">
      <c r="A1517" s="35" t="n"/>
      <c r="B1517" s="35" t="n"/>
      <c r="C1517" s="35" t="n"/>
      <c r="D1517" s="35" t="n"/>
    </row>
    <row r="1518" ht="15" customHeight="1">
      <c r="A1518" s="35" t="n"/>
      <c r="B1518" s="35" t="n"/>
      <c r="C1518" s="35" t="n"/>
      <c r="D1518" s="35" t="n"/>
    </row>
    <row r="1519" ht="15" customHeight="1">
      <c r="A1519" s="35" t="n"/>
      <c r="B1519" s="35" t="n"/>
      <c r="C1519" s="35" t="n"/>
      <c r="D1519" s="35" t="n"/>
    </row>
    <row r="1520" ht="15" customHeight="1">
      <c r="A1520" s="35" t="n"/>
      <c r="B1520" s="35" t="n"/>
      <c r="C1520" s="35" t="n"/>
      <c r="D1520" s="35" t="n"/>
    </row>
    <row r="1521" ht="15" customHeight="1">
      <c r="A1521" s="35" t="n"/>
      <c r="B1521" s="35" t="n"/>
      <c r="C1521" s="35" t="n"/>
      <c r="D1521" s="35" t="n"/>
    </row>
    <row r="1522" ht="15" customHeight="1">
      <c r="A1522" s="35" t="n"/>
      <c r="B1522" s="35" t="n"/>
      <c r="C1522" s="35" t="n"/>
      <c r="D1522" s="35" t="n"/>
    </row>
    <row r="1523" ht="15" customHeight="1">
      <c r="A1523" s="35" t="n"/>
      <c r="B1523" s="35" t="n"/>
      <c r="C1523" s="35" t="n"/>
      <c r="D1523" s="35" t="n"/>
    </row>
    <row r="1524" ht="15" customHeight="1">
      <c r="A1524" s="35" t="n"/>
      <c r="B1524" s="35" t="n"/>
      <c r="C1524" s="35" t="n"/>
      <c r="D1524" s="35" t="n"/>
    </row>
    <row r="1525" ht="15" customHeight="1">
      <c r="A1525" s="35" t="n"/>
      <c r="B1525" s="35" t="n"/>
      <c r="C1525" s="35" t="n"/>
      <c r="D1525" s="35" t="n"/>
    </row>
    <row r="1526" ht="15" customHeight="1">
      <c r="A1526" s="35" t="n"/>
      <c r="B1526" s="35" t="n"/>
      <c r="C1526" s="35" t="n"/>
      <c r="D1526" s="35" t="n"/>
    </row>
    <row r="1527" ht="15" customHeight="1">
      <c r="A1527" s="35" t="n"/>
      <c r="B1527" s="35" t="n"/>
      <c r="C1527" s="35" t="n"/>
      <c r="D1527" s="35" t="n"/>
    </row>
    <row r="1528" ht="15" customHeight="1">
      <c r="A1528" s="35" t="n"/>
      <c r="B1528" s="35" t="n"/>
      <c r="C1528" s="35" t="n"/>
      <c r="D1528" s="35" t="n"/>
    </row>
    <row r="1529" ht="15" customHeight="1">
      <c r="A1529" s="35" t="n"/>
      <c r="B1529" s="35" t="n"/>
      <c r="C1529" s="35" t="n"/>
      <c r="D1529" s="35" t="n"/>
    </row>
    <row r="1530" ht="15" customHeight="1">
      <c r="A1530" s="35" t="n"/>
      <c r="B1530" s="35" t="n"/>
      <c r="C1530" s="35" t="n"/>
      <c r="D1530" s="35" t="n"/>
    </row>
    <row r="1531" ht="15" customHeight="1">
      <c r="A1531" s="35" t="n"/>
      <c r="B1531" s="35" t="n"/>
      <c r="C1531" s="35" t="n"/>
      <c r="D1531" s="35" t="n"/>
    </row>
    <row r="1532" ht="15" customHeight="1">
      <c r="A1532" s="35" t="n"/>
      <c r="B1532" s="35" t="n"/>
      <c r="C1532" s="35" t="n"/>
      <c r="D1532" s="35" t="n"/>
    </row>
    <row r="1533" ht="15" customHeight="1">
      <c r="A1533" s="35" t="n"/>
      <c r="B1533" s="35" t="n"/>
      <c r="C1533" s="35" t="n"/>
      <c r="D1533" s="35" t="n"/>
    </row>
    <row r="1534" ht="15" customHeight="1">
      <c r="A1534" s="35" t="n"/>
      <c r="B1534" s="35" t="n"/>
      <c r="C1534" s="35" t="n"/>
      <c r="D1534" s="35" t="n"/>
    </row>
    <row r="1535" ht="15" customHeight="1">
      <c r="A1535" s="35" t="n"/>
      <c r="B1535" s="35" t="n"/>
      <c r="C1535" s="35" t="n"/>
      <c r="D1535" s="35" t="n"/>
    </row>
    <row r="1536" ht="15" customHeight="1">
      <c r="A1536" s="35" t="n"/>
      <c r="B1536" s="35" t="n"/>
      <c r="C1536" s="35" t="n"/>
      <c r="D1536" s="35" t="n"/>
    </row>
    <row r="1537" ht="15" customHeight="1">
      <c r="A1537" s="35" t="n"/>
      <c r="B1537" s="35" t="n"/>
      <c r="C1537" s="35" t="n"/>
      <c r="D1537" s="35" t="n"/>
    </row>
    <row r="1538" ht="15" customHeight="1">
      <c r="A1538" s="35" t="n"/>
      <c r="B1538" s="35" t="n"/>
      <c r="C1538" s="35" t="n"/>
      <c r="D1538" s="35" t="n"/>
    </row>
    <row r="1539" ht="15" customHeight="1">
      <c r="A1539" s="35" t="n"/>
      <c r="B1539" s="35" t="n"/>
      <c r="C1539" s="35" t="n"/>
      <c r="D1539" s="35" t="n"/>
    </row>
    <row r="1540" ht="15" customHeight="1">
      <c r="A1540" s="35" t="n"/>
      <c r="B1540" s="35" t="n"/>
      <c r="C1540" s="35" t="n"/>
      <c r="D1540" s="35" t="n"/>
    </row>
    <row r="1541" ht="15" customHeight="1">
      <c r="A1541" s="35" t="n"/>
      <c r="B1541" s="35" t="n"/>
      <c r="C1541" s="35" t="n"/>
      <c r="D1541" s="35" t="n"/>
    </row>
    <row r="1542" ht="15" customHeight="1">
      <c r="A1542" s="35" t="n"/>
      <c r="B1542" s="35" t="n"/>
      <c r="C1542" s="35" t="n"/>
      <c r="D1542" s="35" t="n"/>
    </row>
    <row r="1543" ht="15" customHeight="1">
      <c r="A1543" s="35" t="n"/>
      <c r="B1543" s="35" t="n"/>
      <c r="C1543" s="35" t="n"/>
      <c r="D1543" s="35" t="n"/>
    </row>
    <row r="1544" ht="15" customHeight="1">
      <c r="A1544" s="35" t="n"/>
      <c r="B1544" s="35" t="n"/>
      <c r="C1544" s="35" t="n"/>
      <c r="D1544" s="35" t="n"/>
    </row>
    <row r="1545" ht="15" customHeight="1">
      <c r="A1545" s="35" t="n"/>
      <c r="B1545" s="35" t="n"/>
      <c r="C1545" s="35" t="n"/>
      <c r="D1545" s="35" t="n"/>
    </row>
    <row r="1546" ht="15" customHeight="1">
      <c r="A1546" s="35" t="n"/>
      <c r="B1546" s="35" t="n"/>
      <c r="C1546" s="35" t="n"/>
      <c r="D1546" s="35" t="n"/>
    </row>
    <row r="1547" ht="15" customHeight="1">
      <c r="A1547" s="35" t="n"/>
      <c r="B1547" s="35" t="n"/>
      <c r="C1547" s="35" t="n"/>
      <c r="D1547" s="35" t="n"/>
    </row>
    <row r="1548" ht="15" customHeight="1">
      <c r="A1548" s="35" t="n"/>
      <c r="B1548" s="35" t="n"/>
      <c r="C1548" s="35" t="n"/>
      <c r="D1548" s="35" t="n"/>
    </row>
    <row r="1549" ht="15" customHeight="1">
      <c r="A1549" s="35" t="n"/>
      <c r="B1549" s="35" t="n"/>
      <c r="C1549" s="35" t="n"/>
      <c r="D1549" s="35" t="n"/>
    </row>
    <row r="1550" ht="15" customHeight="1">
      <c r="A1550" s="35" t="n"/>
      <c r="B1550" s="35" t="n"/>
      <c r="C1550" s="35" t="n"/>
      <c r="D1550" s="35" t="n"/>
    </row>
    <row r="1551" ht="15" customHeight="1">
      <c r="A1551" s="35" t="n"/>
      <c r="B1551" s="35" t="n"/>
      <c r="C1551" s="35" t="n"/>
      <c r="D1551" s="35" t="n"/>
    </row>
    <row r="1552" ht="15" customHeight="1">
      <c r="A1552" s="35" t="n"/>
      <c r="B1552" s="35" t="n"/>
      <c r="C1552" s="35" t="n"/>
      <c r="D1552" s="35" t="n"/>
    </row>
    <row r="1553" ht="15" customHeight="1">
      <c r="A1553" s="35" t="n"/>
      <c r="B1553" s="35" t="n"/>
      <c r="C1553" s="35" t="n"/>
      <c r="D1553" s="35" t="n"/>
    </row>
    <row r="1554" ht="15" customHeight="1">
      <c r="A1554" s="35" t="n"/>
      <c r="B1554" s="35" t="n"/>
      <c r="C1554" s="35" t="n"/>
      <c r="D1554" s="35" t="n"/>
    </row>
    <row r="1555" ht="15" customHeight="1">
      <c r="A1555" s="35" t="n"/>
      <c r="B1555" s="35" t="n"/>
      <c r="C1555" s="35" t="n"/>
      <c r="D1555" s="35" t="n"/>
    </row>
    <row r="1556" ht="15" customHeight="1">
      <c r="A1556" s="35" t="n"/>
      <c r="B1556" s="35" t="n"/>
      <c r="C1556" s="35" t="n"/>
      <c r="D1556" s="35" t="n"/>
    </row>
    <row r="1557" ht="15" customHeight="1">
      <c r="A1557" s="35" t="n"/>
      <c r="B1557" s="35" t="n"/>
      <c r="C1557" s="35" t="n"/>
      <c r="D1557" s="35" t="n"/>
    </row>
    <row r="1558" ht="15" customHeight="1">
      <c r="A1558" s="35" t="n"/>
      <c r="B1558" s="35" t="n"/>
      <c r="C1558" s="35" t="n"/>
      <c r="D1558" s="35" t="n"/>
    </row>
    <row r="1559" ht="15" customHeight="1">
      <c r="A1559" s="35" t="n"/>
      <c r="B1559" s="35" t="n"/>
      <c r="C1559" s="35" t="n"/>
      <c r="D1559" s="35" t="n"/>
    </row>
    <row r="1560" ht="15" customHeight="1">
      <c r="A1560" s="35" t="n"/>
      <c r="B1560" s="35" t="n"/>
      <c r="C1560" s="35" t="n"/>
      <c r="D1560" s="35" t="n"/>
    </row>
    <row r="1561" ht="15" customHeight="1">
      <c r="A1561" s="35" t="n"/>
      <c r="B1561" s="35" t="n"/>
      <c r="C1561" s="35" t="n"/>
      <c r="D1561" s="35" t="n"/>
    </row>
    <row r="1562" ht="15" customHeight="1">
      <c r="A1562" s="35" t="n"/>
      <c r="B1562" s="35" t="n"/>
      <c r="C1562" s="35" t="n"/>
      <c r="D1562" s="35" t="n"/>
    </row>
    <row r="1563" ht="15" customHeight="1">
      <c r="A1563" s="35" t="n"/>
      <c r="B1563" s="35" t="n"/>
      <c r="C1563" s="35" t="n"/>
      <c r="D1563" s="35" t="n"/>
    </row>
    <row r="1564" ht="15" customHeight="1">
      <c r="A1564" s="35" t="n"/>
      <c r="B1564" s="35" t="n"/>
      <c r="C1564" s="35" t="n"/>
      <c r="D1564" s="35" t="n"/>
    </row>
    <row r="1565" ht="15" customHeight="1">
      <c r="A1565" s="35" t="n"/>
      <c r="B1565" s="35" t="n"/>
      <c r="C1565" s="35" t="n"/>
      <c r="D1565" s="35" t="n"/>
    </row>
    <row r="1566" ht="15" customHeight="1">
      <c r="A1566" s="35" t="n"/>
      <c r="B1566" s="35" t="n"/>
      <c r="C1566" s="35" t="n"/>
      <c r="D1566" s="35" t="n"/>
    </row>
    <row r="1567" ht="15" customHeight="1">
      <c r="A1567" s="35" t="n"/>
      <c r="B1567" s="35" t="n"/>
      <c r="C1567" s="35" t="n"/>
      <c r="D1567" s="35" t="n"/>
    </row>
    <row r="1568" ht="15" customHeight="1">
      <c r="A1568" s="35" t="n"/>
      <c r="B1568" s="35" t="n"/>
      <c r="C1568" s="35" t="n"/>
      <c r="D1568" s="35" t="n"/>
    </row>
    <row r="1569" ht="15" customHeight="1">
      <c r="A1569" s="35" t="n"/>
      <c r="B1569" s="35" t="n"/>
      <c r="C1569" s="35" t="n"/>
      <c r="D1569" s="35" t="n"/>
    </row>
    <row r="1570" ht="15" customHeight="1">
      <c r="A1570" s="35" t="n"/>
      <c r="B1570" s="35" t="n"/>
      <c r="C1570" s="35" t="n"/>
      <c r="D1570" s="35" t="n"/>
    </row>
    <row r="1571" ht="15" customHeight="1">
      <c r="A1571" s="35" t="n"/>
      <c r="B1571" s="35" t="n"/>
      <c r="C1571" s="35" t="n"/>
      <c r="D1571" s="35" t="n"/>
    </row>
    <row r="1572" ht="15" customHeight="1">
      <c r="A1572" s="35" t="n"/>
      <c r="B1572" s="35" t="n"/>
      <c r="C1572" s="35" t="n"/>
      <c r="D1572" s="35" t="n"/>
    </row>
    <row r="1573" ht="15" customHeight="1">
      <c r="A1573" s="35" t="n"/>
      <c r="B1573" s="35" t="n"/>
      <c r="C1573" s="35" t="n"/>
      <c r="D1573" s="35" t="n"/>
    </row>
    <row r="1574" ht="15" customHeight="1">
      <c r="A1574" s="35" t="n"/>
      <c r="B1574" s="35" t="n"/>
      <c r="C1574" s="35" t="n"/>
      <c r="D1574" s="35" t="n"/>
    </row>
    <row r="1575" ht="15" customHeight="1">
      <c r="A1575" s="35" t="n"/>
      <c r="B1575" s="35" t="n"/>
      <c r="C1575" s="35" t="n"/>
      <c r="D1575" s="35" t="n"/>
    </row>
    <row r="1576" ht="15" customHeight="1">
      <c r="A1576" s="35" t="n"/>
      <c r="B1576" s="35" t="n"/>
      <c r="C1576" s="35" t="n"/>
      <c r="D1576" s="35" t="n"/>
    </row>
    <row r="1577" ht="15" customHeight="1">
      <c r="A1577" s="35" t="n"/>
      <c r="B1577" s="35" t="n"/>
      <c r="C1577" s="35" t="n"/>
      <c r="D1577" s="35" t="n"/>
    </row>
    <row r="1578" ht="15" customHeight="1">
      <c r="A1578" s="35" t="n"/>
      <c r="B1578" s="35" t="n"/>
      <c r="C1578" s="35" t="n"/>
      <c r="D1578" s="35" t="n"/>
    </row>
    <row r="1579" ht="15" customHeight="1">
      <c r="A1579" s="35" t="n"/>
      <c r="B1579" s="35" t="n"/>
      <c r="C1579" s="35" t="n"/>
      <c r="D1579" s="35" t="n"/>
    </row>
    <row r="1580" ht="15" customHeight="1">
      <c r="A1580" s="35" t="n"/>
      <c r="B1580" s="35" t="n"/>
      <c r="C1580" s="35" t="n"/>
      <c r="D1580" s="35" t="n"/>
    </row>
    <row r="1581" ht="15" customHeight="1">
      <c r="A1581" s="35" t="n"/>
      <c r="B1581" s="35" t="n"/>
      <c r="C1581" s="35" t="n"/>
      <c r="D1581" s="35" t="n"/>
    </row>
    <row r="1582" ht="15" customHeight="1">
      <c r="A1582" s="35" t="n"/>
      <c r="B1582" s="35" t="n"/>
      <c r="C1582" s="35" t="n"/>
      <c r="D1582" s="35" t="n"/>
    </row>
    <row r="1583" ht="15" customHeight="1">
      <c r="A1583" s="35" t="n"/>
      <c r="B1583" s="35" t="n"/>
      <c r="C1583" s="35" t="n"/>
      <c r="D1583" s="35" t="n"/>
    </row>
    <row r="1584" ht="15" customHeight="1">
      <c r="A1584" s="35" t="n"/>
      <c r="B1584" s="35" t="n"/>
      <c r="C1584" s="35" t="n"/>
      <c r="D1584" s="35" t="n"/>
    </row>
    <row r="1585" ht="15" customHeight="1">
      <c r="A1585" s="35" t="n"/>
      <c r="B1585" s="35" t="n"/>
      <c r="C1585" s="35" t="n"/>
      <c r="D1585" s="35" t="n"/>
    </row>
    <row r="1586" ht="15" customHeight="1">
      <c r="A1586" s="35" t="n"/>
      <c r="B1586" s="35" t="n"/>
      <c r="C1586" s="35" t="n"/>
      <c r="D1586" s="35" t="n"/>
    </row>
    <row r="1587" ht="15" customHeight="1">
      <c r="A1587" s="35" t="n"/>
      <c r="B1587" s="35" t="n"/>
      <c r="C1587" s="35" t="n"/>
      <c r="D1587" s="35" t="n"/>
    </row>
    <row r="1588" ht="15" customHeight="1">
      <c r="A1588" s="35" t="n"/>
      <c r="B1588" s="35" t="n"/>
      <c r="C1588" s="35" t="n"/>
      <c r="D1588" s="35" t="n"/>
    </row>
    <row r="1589" ht="15" customHeight="1">
      <c r="A1589" s="35" t="n"/>
      <c r="B1589" s="35" t="n"/>
      <c r="C1589" s="35" t="n"/>
      <c r="D1589" s="35" t="n"/>
    </row>
    <row r="1590" ht="15" customHeight="1">
      <c r="A1590" s="35" t="n"/>
      <c r="B1590" s="35" t="n"/>
      <c r="C1590" s="35" t="n"/>
      <c r="D1590" s="35" t="n"/>
    </row>
    <row r="1591" ht="15" customHeight="1">
      <c r="A1591" s="35" t="n"/>
      <c r="B1591" s="35" t="n"/>
      <c r="C1591" s="35" t="n"/>
      <c r="D1591" s="35" t="n"/>
    </row>
    <row r="1592" ht="15" customHeight="1">
      <c r="A1592" s="35" t="n"/>
      <c r="B1592" s="35" t="n"/>
      <c r="C1592" s="35" t="n"/>
      <c r="D1592" s="35" t="n"/>
    </row>
    <row r="1593" ht="15" customHeight="1">
      <c r="A1593" s="35" t="n"/>
      <c r="B1593" s="35" t="n"/>
      <c r="C1593" s="35" t="n"/>
      <c r="D1593" s="35" t="n"/>
    </row>
    <row r="1594" ht="15" customHeight="1">
      <c r="A1594" s="35" t="n"/>
      <c r="B1594" s="35" t="n"/>
      <c r="C1594" s="35" t="n"/>
      <c r="D1594" s="35" t="n"/>
    </row>
    <row r="1595" ht="15" customHeight="1">
      <c r="A1595" s="35" t="n"/>
      <c r="B1595" s="35" t="n"/>
      <c r="C1595" s="35" t="n"/>
      <c r="D1595" s="35" t="n"/>
    </row>
    <row r="1596" ht="15" customHeight="1">
      <c r="A1596" s="35" t="n"/>
      <c r="B1596" s="35" t="n"/>
      <c r="C1596" s="35" t="n"/>
      <c r="D1596" s="35" t="n"/>
    </row>
    <row r="1597" ht="15" customHeight="1">
      <c r="A1597" s="35" t="n"/>
      <c r="B1597" s="35" t="n"/>
      <c r="C1597" s="35" t="n"/>
      <c r="D1597" s="35" t="n"/>
    </row>
    <row r="1598" ht="15" customHeight="1">
      <c r="A1598" s="35" t="n"/>
      <c r="B1598" s="35" t="n"/>
      <c r="C1598" s="35" t="n"/>
      <c r="D1598" s="35" t="n"/>
    </row>
    <row r="1599" ht="15" customHeight="1">
      <c r="A1599" s="35" t="n"/>
      <c r="B1599" s="35" t="n"/>
      <c r="C1599" s="35" t="n"/>
      <c r="D1599" s="35" t="n"/>
    </row>
    <row r="1600" ht="15" customHeight="1">
      <c r="A1600" s="35" t="n"/>
      <c r="B1600" s="35" t="n"/>
      <c r="C1600" s="35" t="n"/>
      <c r="D1600" s="35" t="n"/>
    </row>
    <row r="1601" ht="15" customHeight="1">
      <c r="A1601" s="35" t="n"/>
      <c r="B1601" s="35" t="n"/>
      <c r="C1601" s="35" t="n"/>
      <c r="D1601" s="35" t="n"/>
    </row>
    <row r="1602" ht="15" customHeight="1">
      <c r="A1602" s="35" t="n"/>
      <c r="B1602" s="35" t="n"/>
      <c r="C1602" s="35" t="n"/>
      <c r="D1602" s="35" t="n"/>
    </row>
    <row r="1603" ht="15" customHeight="1">
      <c r="A1603" s="35" t="n"/>
      <c r="B1603" s="35" t="n"/>
      <c r="C1603" s="35" t="n"/>
      <c r="D1603" s="35" t="n"/>
    </row>
    <row r="1604" ht="15" customHeight="1">
      <c r="A1604" s="35" t="n"/>
      <c r="B1604" s="35" t="n"/>
      <c r="C1604" s="35" t="n"/>
      <c r="D1604" s="35" t="n"/>
    </row>
    <row r="1605" ht="15" customHeight="1">
      <c r="A1605" s="35" t="n"/>
      <c r="B1605" s="35" t="n"/>
      <c r="C1605" s="35" t="n"/>
      <c r="D1605" s="35" t="n"/>
    </row>
    <row r="1606" ht="15" customHeight="1">
      <c r="A1606" s="35" t="n"/>
      <c r="B1606" s="35" t="n"/>
      <c r="C1606" s="35" t="n"/>
      <c r="D1606" s="35" t="n"/>
    </row>
    <row r="1607" ht="15" customHeight="1">
      <c r="A1607" s="35" t="n"/>
      <c r="B1607" s="35" t="n"/>
      <c r="C1607" s="35" t="n"/>
      <c r="D1607" s="35" t="n"/>
    </row>
    <row r="1608" ht="15" customHeight="1">
      <c r="A1608" s="35" t="n"/>
      <c r="B1608" s="35" t="n"/>
      <c r="C1608" s="35" t="n"/>
      <c r="D1608" s="35" t="n"/>
    </row>
    <row r="1609" ht="15" customHeight="1">
      <c r="A1609" s="35" t="n"/>
      <c r="B1609" s="35" t="n"/>
      <c r="C1609" s="35" t="n"/>
      <c r="D1609" s="35" t="n"/>
    </row>
    <row r="1610" ht="15" customHeight="1">
      <c r="A1610" s="35" t="n"/>
      <c r="B1610" s="35" t="n"/>
      <c r="C1610" s="35" t="n"/>
      <c r="D1610" s="35" t="n"/>
    </row>
    <row r="1611" ht="15" customHeight="1">
      <c r="A1611" s="35" t="n"/>
      <c r="B1611" s="35" t="n"/>
      <c r="C1611" s="35" t="n"/>
      <c r="D1611" s="35" t="n"/>
    </row>
    <row r="1612" ht="15" customHeight="1">
      <c r="A1612" s="35" t="n"/>
      <c r="B1612" s="35" t="n"/>
      <c r="C1612" s="35" t="n"/>
      <c r="D1612" s="35" t="n"/>
    </row>
    <row r="1613" ht="15" customHeight="1">
      <c r="A1613" s="35" t="n"/>
      <c r="B1613" s="35" t="n"/>
      <c r="C1613" s="35" t="n"/>
      <c r="D1613" s="35" t="n"/>
    </row>
    <row r="1614" ht="15" customHeight="1">
      <c r="A1614" s="35" t="n"/>
      <c r="B1614" s="35" t="n"/>
      <c r="C1614" s="35" t="n"/>
      <c r="D1614" s="35" t="n"/>
    </row>
    <row r="1615" ht="15" customHeight="1">
      <c r="A1615" s="35" t="n"/>
      <c r="B1615" s="35" t="n"/>
      <c r="C1615" s="35" t="n"/>
      <c r="D1615" s="35" t="n"/>
    </row>
    <row r="1616" ht="15" customHeight="1">
      <c r="A1616" s="35" t="n"/>
      <c r="B1616" s="35" t="n"/>
      <c r="C1616" s="35" t="n"/>
      <c r="D1616" s="35" t="n"/>
    </row>
    <row r="1617" ht="15" customHeight="1">
      <c r="A1617" s="35" t="n"/>
      <c r="B1617" s="35" t="n"/>
      <c r="C1617" s="35" t="n"/>
      <c r="D1617" s="35" t="n"/>
    </row>
    <row r="1618" ht="15" customHeight="1">
      <c r="A1618" s="35" t="n"/>
      <c r="B1618" s="35" t="n"/>
      <c r="C1618" s="35" t="n"/>
      <c r="D1618" s="35" t="n"/>
    </row>
    <row r="1619" ht="15" customHeight="1">
      <c r="A1619" s="35" t="n"/>
      <c r="B1619" s="35" t="n"/>
      <c r="C1619" s="35" t="n"/>
      <c r="D1619" s="35" t="n"/>
    </row>
    <row r="1620" ht="15" customHeight="1">
      <c r="A1620" s="35" t="n"/>
      <c r="B1620" s="35" t="n"/>
      <c r="C1620" s="35" t="n"/>
      <c r="D1620" s="35" t="n"/>
    </row>
    <row r="1621" ht="15" customHeight="1">
      <c r="A1621" s="35" t="n"/>
      <c r="B1621" s="35" t="n"/>
      <c r="C1621" s="35" t="n"/>
      <c r="D1621" s="35" t="n"/>
    </row>
    <row r="1622" ht="15" customHeight="1">
      <c r="A1622" s="35" t="n"/>
      <c r="B1622" s="35" t="n"/>
      <c r="C1622" s="35" t="n"/>
      <c r="D1622" s="35" t="n"/>
    </row>
    <row r="1623" ht="15" customHeight="1">
      <c r="A1623" s="35" t="n"/>
      <c r="B1623" s="35" t="n"/>
      <c r="C1623" s="35" t="n"/>
      <c r="D1623" s="35" t="n"/>
    </row>
    <row r="1624" ht="15" customHeight="1">
      <c r="A1624" s="35" t="n"/>
      <c r="B1624" s="35" t="n"/>
      <c r="C1624" s="35" t="n"/>
      <c r="D1624" s="35" t="n"/>
    </row>
    <row r="1625" ht="15" customHeight="1">
      <c r="A1625" s="35" t="n"/>
      <c r="B1625" s="35" t="n"/>
      <c r="C1625" s="35" t="n"/>
      <c r="D1625" s="35" t="n"/>
    </row>
    <row r="1626" ht="15" customHeight="1">
      <c r="A1626" s="35" t="n"/>
      <c r="B1626" s="35" t="n"/>
      <c r="C1626" s="35" t="n"/>
      <c r="D1626" s="35" t="n"/>
    </row>
    <row r="1627" ht="15" customHeight="1">
      <c r="A1627" s="35" t="n"/>
      <c r="B1627" s="35" t="n"/>
      <c r="C1627" s="35" t="n"/>
      <c r="D1627" s="35" t="n"/>
    </row>
    <row r="1628" ht="15" customHeight="1">
      <c r="A1628" s="35" t="n"/>
      <c r="B1628" s="35" t="n"/>
      <c r="C1628" s="35" t="n"/>
      <c r="D1628" s="35" t="n"/>
    </row>
    <row r="1629" ht="15" customHeight="1">
      <c r="A1629" s="35" t="n"/>
      <c r="B1629" s="35" t="n"/>
      <c r="C1629" s="35" t="n"/>
      <c r="D1629" s="35" t="n"/>
    </row>
    <row r="1630" ht="15" customHeight="1">
      <c r="A1630" s="35" t="n"/>
      <c r="B1630" s="35" t="n"/>
      <c r="C1630" s="35" t="n"/>
      <c r="D1630" s="35" t="n"/>
    </row>
    <row r="1631" ht="15" customHeight="1">
      <c r="A1631" s="35" t="n"/>
      <c r="B1631" s="35" t="n"/>
      <c r="C1631" s="35" t="n"/>
      <c r="D1631" s="35" t="n"/>
    </row>
    <row r="1632" ht="15" customHeight="1">
      <c r="A1632" s="35" t="n"/>
      <c r="B1632" s="35" t="n"/>
      <c r="C1632" s="35" t="n"/>
      <c r="D1632" s="35" t="n"/>
    </row>
    <row r="1633" ht="15" customHeight="1">
      <c r="A1633" s="35" t="n"/>
      <c r="B1633" s="35" t="n"/>
      <c r="C1633" s="35" t="n"/>
      <c r="D1633" s="35" t="n"/>
    </row>
    <row r="1634" ht="15" customHeight="1">
      <c r="A1634" s="35" t="n"/>
      <c r="B1634" s="35" t="n"/>
      <c r="C1634" s="35" t="n"/>
      <c r="D1634" s="35" t="n"/>
    </row>
    <row r="1635" ht="15" customHeight="1">
      <c r="A1635" s="35" t="n"/>
      <c r="B1635" s="35" t="n"/>
      <c r="C1635" s="35" t="n"/>
      <c r="D1635" s="35" t="n"/>
    </row>
    <row r="1636" ht="15" customHeight="1">
      <c r="A1636" s="35" t="n"/>
      <c r="B1636" s="35" t="n"/>
      <c r="C1636" s="35" t="n"/>
      <c r="D1636" s="35" t="n"/>
    </row>
    <row r="1637" ht="15" customHeight="1">
      <c r="A1637" s="35" t="n"/>
      <c r="B1637" s="35" t="n"/>
      <c r="C1637" s="35" t="n"/>
      <c r="D1637" s="35" t="n"/>
    </row>
    <row r="1638" ht="15" customHeight="1">
      <c r="A1638" s="35" t="n"/>
      <c r="B1638" s="35" t="n"/>
      <c r="C1638" s="35" t="n"/>
      <c r="D1638" s="35" t="n"/>
    </row>
    <row r="1639" ht="15" customHeight="1">
      <c r="A1639" s="35" t="n"/>
      <c r="B1639" s="35" t="n"/>
      <c r="C1639" s="35" t="n"/>
      <c r="D1639" s="35" t="n"/>
    </row>
    <row r="1640" ht="15" customHeight="1">
      <c r="A1640" s="35" t="n"/>
      <c r="B1640" s="35" t="n"/>
      <c r="C1640" s="35" t="n"/>
      <c r="D1640" s="35" t="n"/>
    </row>
    <row r="1641" ht="15" customHeight="1">
      <c r="A1641" s="35" t="n"/>
      <c r="B1641" s="35" t="n"/>
      <c r="C1641" s="35" t="n"/>
      <c r="D1641" s="35" t="n"/>
    </row>
    <row r="1642" ht="15" customHeight="1">
      <c r="A1642" s="35" t="n"/>
      <c r="B1642" s="35" t="n"/>
      <c r="C1642" s="35" t="n"/>
      <c r="D1642" s="35" t="n"/>
    </row>
    <row r="1643" ht="15" customHeight="1">
      <c r="A1643" s="35" t="n"/>
      <c r="B1643" s="35" t="n"/>
      <c r="C1643" s="35" t="n"/>
      <c r="D1643" s="35" t="n"/>
    </row>
    <row r="1644" ht="15" customHeight="1">
      <c r="A1644" s="35" t="n"/>
      <c r="B1644" s="35" t="n"/>
      <c r="C1644" s="35" t="n"/>
      <c r="D1644" s="35" t="n"/>
    </row>
    <row r="1645" ht="15" customHeight="1">
      <c r="A1645" s="35" t="n"/>
      <c r="B1645" s="35" t="n"/>
      <c r="C1645" s="35" t="n"/>
      <c r="D1645" s="35" t="n"/>
    </row>
    <row r="1646" ht="15" customHeight="1">
      <c r="A1646" s="35" t="n"/>
      <c r="B1646" s="35" t="n"/>
      <c r="C1646" s="35" t="n"/>
      <c r="D1646" s="35" t="n"/>
    </row>
    <row r="1647" ht="15" customHeight="1">
      <c r="A1647" s="35" t="n"/>
      <c r="B1647" s="35" t="n"/>
      <c r="C1647" s="35" t="n"/>
      <c r="D1647" s="35" t="n"/>
    </row>
    <row r="1648" ht="15" customHeight="1">
      <c r="A1648" s="35" t="n"/>
      <c r="B1648" s="35" t="n"/>
      <c r="C1648" s="35" t="n"/>
      <c r="D1648" s="35" t="n"/>
    </row>
    <row r="1649" ht="15" customHeight="1">
      <c r="A1649" s="35" t="n"/>
      <c r="B1649" s="35" t="n"/>
      <c r="C1649" s="35" t="n"/>
      <c r="D1649" s="35" t="n"/>
    </row>
    <row r="1650" ht="15" customHeight="1">
      <c r="A1650" s="35" t="n"/>
      <c r="B1650" s="35" t="n"/>
      <c r="C1650" s="35" t="n"/>
      <c r="D1650" s="35" t="n"/>
    </row>
    <row r="1651" ht="15" customHeight="1">
      <c r="A1651" s="35" t="n"/>
      <c r="B1651" s="35" t="n"/>
      <c r="C1651" s="35" t="n"/>
      <c r="D1651" s="35" t="n"/>
    </row>
    <row r="1652" ht="15" customHeight="1">
      <c r="A1652" s="35" t="n"/>
      <c r="B1652" s="35" t="n"/>
      <c r="C1652" s="35" t="n"/>
      <c r="D1652" s="35" t="n"/>
    </row>
    <row r="1653" ht="15" customHeight="1">
      <c r="A1653" s="35" t="n"/>
      <c r="B1653" s="35" t="n"/>
      <c r="C1653" s="35" t="n"/>
      <c r="D1653" s="35" t="n"/>
    </row>
    <row r="1654" ht="15" customHeight="1">
      <c r="A1654" s="35" t="n"/>
      <c r="B1654" s="35" t="n"/>
      <c r="C1654" s="35" t="n"/>
      <c r="D1654" s="35" t="n"/>
    </row>
    <row r="1655" ht="15" customHeight="1">
      <c r="A1655" s="35" t="n"/>
      <c r="B1655" s="35" t="n"/>
      <c r="C1655" s="35" t="n"/>
      <c r="D1655" s="35" t="n"/>
    </row>
    <row r="1656" ht="15" customHeight="1">
      <c r="A1656" s="35" t="n"/>
      <c r="B1656" s="35" t="n"/>
      <c r="C1656" s="35" t="n"/>
      <c r="D1656" s="35" t="n"/>
    </row>
    <row r="1657" ht="15" customHeight="1">
      <c r="A1657" s="35" t="n"/>
      <c r="B1657" s="35" t="n"/>
      <c r="C1657" s="35" t="n"/>
      <c r="D1657" s="35" t="n"/>
    </row>
    <row r="1658" ht="15" customHeight="1">
      <c r="A1658" s="35" t="n"/>
      <c r="B1658" s="35" t="n"/>
      <c r="C1658" s="35" t="n"/>
      <c r="D1658" s="35" t="n"/>
    </row>
    <row r="1659" ht="15" customHeight="1">
      <c r="A1659" s="35" t="n"/>
      <c r="B1659" s="35" t="n"/>
      <c r="C1659" s="35" t="n"/>
      <c r="D1659" s="35" t="n"/>
    </row>
    <row r="1660" ht="15" customHeight="1">
      <c r="A1660" s="35" t="n"/>
      <c r="B1660" s="35" t="n"/>
      <c r="C1660" s="35" t="n"/>
      <c r="D1660" s="35" t="n"/>
    </row>
    <row r="1661" ht="15" customHeight="1">
      <c r="A1661" s="35" t="n"/>
      <c r="B1661" s="35" t="n"/>
      <c r="C1661" s="35" t="n"/>
      <c r="D1661" s="35" t="n"/>
    </row>
    <row r="1662" ht="15" customHeight="1">
      <c r="A1662" s="35" t="n"/>
      <c r="B1662" s="35" t="n"/>
      <c r="C1662" s="35" t="n"/>
      <c r="D1662" s="35" t="n"/>
    </row>
    <row r="1663" ht="15" customHeight="1">
      <c r="A1663" s="35" t="n"/>
      <c r="B1663" s="35" t="n"/>
      <c r="C1663" s="35" t="n"/>
      <c r="D1663" s="35" t="n"/>
    </row>
    <row r="1664" ht="15" customHeight="1">
      <c r="A1664" s="35" t="n"/>
      <c r="B1664" s="35" t="n"/>
      <c r="C1664" s="35" t="n"/>
      <c r="D1664" s="35" t="n"/>
    </row>
    <row r="1665" ht="15" customHeight="1">
      <c r="A1665" s="35" t="n"/>
      <c r="B1665" s="35" t="n"/>
      <c r="C1665" s="35" t="n"/>
      <c r="D1665" s="35" t="n"/>
    </row>
    <row r="1666" ht="15" customHeight="1">
      <c r="A1666" s="35" t="n"/>
      <c r="B1666" s="35" t="n"/>
      <c r="C1666" s="35" t="n"/>
      <c r="D1666" s="35" t="n"/>
    </row>
    <row r="1667" ht="15" customHeight="1">
      <c r="A1667" s="35" t="n"/>
      <c r="B1667" s="35" t="n"/>
      <c r="C1667" s="35" t="n"/>
      <c r="D1667" s="35" t="n"/>
    </row>
    <row r="1668" ht="15" customHeight="1">
      <c r="A1668" s="35" t="n"/>
      <c r="B1668" s="35" t="n"/>
      <c r="C1668" s="35" t="n"/>
      <c r="D1668" s="35" t="n"/>
    </row>
    <row r="1669" ht="15" customHeight="1">
      <c r="A1669" s="35" t="n"/>
      <c r="B1669" s="35" t="n"/>
      <c r="C1669" s="35" t="n"/>
      <c r="D1669" s="35" t="n"/>
    </row>
    <row r="1670" ht="15" customHeight="1">
      <c r="A1670" s="35" t="n"/>
      <c r="B1670" s="35" t="n"/>
      <c r="C1670" s="35" t="n"/>
      <c r="D1670" s="35" t="n"/>
    </row>
    <row r="1671" ht="15" customHeight="1">
      <c r="A1671" s="35" t="n"/>
      <c r="B1671" s="35" t="n"/>
      <c r="C1671" s="35" t="n"/>
      <c r="D1671" s="35" t="n"/>
    </row>
    <row r="1672" ht="15" customHeight="1">
      <c r="A1672" s="35" t="n"/>
      <c r="B1672" s="35" t="n"/>
      <c r="C1672" s="35" t="n"/>
      <c r="D1672" s="35" t="n"/>
    </row>
    <row r="1673" ht="15" customHeight="1">
      <c r="A1673" s="35" t="n"/>
      <c r="B1673" s="35" t="n"/>
      <c r="C1673" s="35" t="n"/>
      <c r="D1673" s="35" t="n"/>
    </row>
    <row r="1674" ht="15" customHeight="1">
      <c r="A1674" s="35" t="n"/>
      <c r="B1674" s="35" t="n"/>
      <c r="C1674" s="35" t="n"/>
      <c r="D1674" s="35" t="n"/>
    </row>
    <row r="1675" ht="15" customHeight="1">
      <c r="A1675" s="35" t="n"/>
      <c r="B1675" s="35" t="n"/>
      <c r="C1675" s="35" t="n"/>
      <c r="D1675" s="35" t="n"/>
    </row>
    <row r="1676" ht="15" customHeight="1">
      <c r="A1676" s="35" t="n"/>
      <c r="B1676" s="35" t="n"/>
      <c r="C1676" s="35" t="n"/>
      <c r="D1676" s="35" t="n"/>
    </row>
    <row r="1677" ht="15" customHeight="1">
      <c r="A1677" s="35" t="n"/>
      <c r="B1677" s="35" t="n"/>
      <c r="C1677" s="35" t="n"/>
      <c r="D1677" s="35" t="n"/>
    </row>
    <row r="1678" ht="15" customHeight="1">
      <c r="A1678" s="35" t="n"/>
      <c r="B1678" s="35" t="n"/>
      <c r="C1678" s="35" t="n"/>
      <c r="D1678" s="35" t="n"/>
    </row>
    <row r="1679" ht="15" customHeight="1">
      <c r="A1679" s="35" t="n"/>
      <c r="B1679" s="35" t="n"/>
      <c r="C1679" s="35" t="n"/>
      <c r="D1679" s="35" t="n"/>
    </row>
    <row r="1680" ht="15" customHeight="1">
      <c r="A1680" s="35" t="n"/>
      <c r="B1680" s="35" t="n"/>
      <c r="C1680" s="35" t="n"/>
      <c r="D1680" s="35" t="n"/>
    </row>
    <row r="1681" ht="15" customHeight="1">
      <c r="A1681" s="35" t="n"/>
      <c r="B1681" s="35" t="n"/>
      <c r="C1681" s="35" t="n"/>
      <c r="D1681" s="35" t="n"/>
    </row>
    <row r="1682" ht="15" customHeight="1">
      <c r="A1682" s="35" t="n"/>
      <c r="B1682" s="35" t="n"/>
      <c r="C1682" s="35" t="n"/>
      <c r="D1682" s="35" t="n"/>
    </row>
    <row r="1683" ht="15" customHeight="1">
      <c r="A1683" s="35" t="n"/>
      <c r="B1683" s="35" t="n"/>
      <c r="C1683" s="35" t="n"/>
      <c r="D1683" s="35" t="n"/>
    </row>
    <row r="1684" ht="15" customHeight="1">
      <c r="A1684" s="35" t="n"/>
      <c r="B1684" s="35" t="n"/>
      <c r="C1684" s="35" t="n"/>
      <c r="D1684" s="35" t="n"/>
    </row>
    <row r="1685" ht="15" customHeight="1">
      <c r="A1685" s="35" t="n"/>
      <c r="B1685" s="35" t="n"/>
      <c r="C1685" s="35" t="n"/>
      <c r="D1685" s="35" t="n"/>
    </row>
    <row r="1686" ht="15" customHeight="1">
      <c r="A1686" s="35" t="n"/>
      <c r="B1686" s="35" t="n"/>
      <c r="C1686" s="35" t="n"/>
      <c r="D1686" s="35" t="n"/>
    </row>
    <row r="1687" ht="15" customHeight="1">
      <c r="A1687" s="35" t="n"/>
      <c r="B1687" s="35" t="n"/>
      <c r="C1687" s="35" t="n"/>
      <c r="D1687" s="35" t="n"/>
    </row>
    <row r="1688" ht="15" customHeight="1">
      <c r="A1688" s="35" t="n"/>
      <c r="B1688" s="35" t="n"/>
      <c r="C1688" s="35" t="n"/>
      <c r="D1688" s="35" t="n"/>
    </row>
    <row r="1689" ht="15" customHeight="1">
      <c r="A1689" s="35" t="n"/>
      <c r="B1689" s="35" t="n"/>
      <c r="C1689" s="35" t="n"/>
      <c r="D1689" s="35" t="n"/>
    </row>
    <row r="1690" ht="15" customHeight="1">
      <c r="A1690" s="35" t="n"/>
      <c r="B1690" s="35" t="n"/>
      <c r="C1690" s="35" t="n"/>
      <c r="D1690" s="35" t="n"/>
    </row>
    <row r="1691" ht="15" customHeight="1">
      <c r="A1691" s="35" t="n"/>
      <c r="B1691" s="35" t="n"/>
      <c r="C1691" s="35" t="n"/>
      <c r="D1691" s="35" t="n"/>
    </row>
    <row r="1692" ht="15" customHeight="1">
      <c r="A1692" s="35" t="n"/>
      <c r="B1692" s="35" t="n"/>
      <c r="C1692" s="35" t="n"/>
      <c r="D1692" s="35" t="n"/>
    </row>
    <row r="1693" ht="15" customHeight="1">
      <c r="A1693" s="35" t="n"/>
      <c r="B1693" s="35" t="n"/>
      <c r="C1693" s="35" t="n"/>
      <c r="D1693" s="35" t="n"/>
    </row>
    <row r="1694" ht="15" customHeight="1">
      <c r="A1694" s="35" t="n"/>
      <c r="B1694" s="35" t="n"/>
      <c r="C1694" s="35" t="n"/>
      <c r="D1694" s="35" t="n"/>
    </row>
    <row r="1695" ht="15" customHeight="1">
      <c r="A1695" s="35" t="n"/>
      <c r="B1695" s="35" t="n"/>
      <c r="C1695" s="35" t="n"/>
      <c r="D1695" s="35" t="n"/>
    </row>
    <row r="1696" ht="15" customHeight="1">
      <c r="A1696" s="35" t="n"/>
      <c r="B1696" s="35" t="n"/>
      <c r="C1696" s="35" t="n"/>
      <c r="D1696" s="35" t="n"/>
    </row>
    <row r="1697" ht="15" customHeight="1">
      <c r="A1697" s="35" t="n"/>
      <c r="B1697" s="35" t="n"/>
      <c r="C1697" s="35" t="n"/>
      <c r="D1697" s="35" t="n"/>
    </row>
    <row r="1698" ht="15" customHeight="1">
      <c r="A1698" s="35" t="n"/>
      <c r="B1698" s="35" t="n"/>
      <c r="C1698" s="35" t="n"/>
      <c r="D1698" s="35" t="n"/>
    </row>
    <row r="1699" ht="15" customHeight="1">
      <c r="A1699" s="35" t="n"/>
      <c r="B1699" s="35" t="n"/>
      <c r="C1699" s="35" t="n"/>
      <c r="D1699" s="35" t="n"/>
    </row>
    <row r="1700" ht="15" customHeight="1">
      <c r="A1700" s="35" t="n"/>
      <c r="B1700" s="35" t="n"/>
      <c r="C1700" s="35" t="n"/>
      <c r="D1700" s="35" t="n"/>
    </row>
    <row r="1701" ht="15" customHeight="1">
      <c r="A1701" s="35" t="n"/>
      <c r="B1701" s="35" t="n"/>
      <c r="C1701" s="35" t="n"/>
      <c r="D1701" s="35" t="n"/>
    </row>
    <row r="1702" ht="15" customHeight="1">
      <c r="A1702" s="35" t="n"/>
      <c r="B1702" s="35" t="n"/>
      <c r="C1702" s="35" t="n"/>
      <c r="D1702" s="35" t="n"/>
    </row>
    <row r="1703" ht="15" customHeight="1">
      <c r="A1703" s="35" t="n"/>
      <c r="B1703" s="35" t="n"/>
      <c r="C1703" s="35" t="n"/>
      <c r="D1703" s="35" t="n"/>
    </row>
    <row r="1704" ht="15" customHeight="1">
      <c r="A1704" s="35" t="n"/>
      <c r="B1704" s="35" t="n"/>
      <c r="C1704" s="35" t="n"/>
      <c r="D1704" s="35" t="n"/>
    </row>
    <row r="1705" ht="15" customHeight="1">
      <c r="A1705" s="35" t="n"/>
      <c r="B1705" s="35" t="n"/>
      <c r="C1705" s="35" t="n"/>
      <c r="D1705" s="35" t="n"/>
    </row>
    <row r="1706" ht="15" customHeight="1">
      <c r="A1706" s="35" t="n"/>
      <c r="B1706" s="35" t="n"/>
      <c r="C1706" s="35" t="n"/>
      <c r="D1706" s="35" t="n"/>
    </row>
    <row r="1707" ht="15" customHeight="1">
      <c r="A1707" s="35" t="n"/>
      <c r="B1707" s="35" t="n"/>
      <c r="C1707" s="35" t="n"/>
      <c r="D1707" s="35" t="n"/>
    </row>
    <row r="1708" ht="15" customHeight="1">
      <c r="A1708" s="35" t="n"/>
      <c r="B1708" s="35" t="n"/>
      <c r="C1708" s="35" t="n"/>
      <c r="D1708" s="35" t="n"/>
    </row>
    <row r="1709" ht="15" customHeight="1">
      <c r="A1709" s="35" t="n"/>
      <c r="B1709" s="35" t="n"/>
      <c r="C1709" s="35" t="n"/>
      <c r="D1709" s="35" t="n"/>
    </row>
    <row r="1710" ht="15" customHeight="1">
      <c r="A1710" s="35" t="n"/>
      <c r="B1710" s="35" t="n"/>
      <c r="C1710" s="35" t="n"/>
      <c r="D1710" s="35" t="n"/>
    </row>
    <row r="1711" ht="15" customHeight="1">
      <c r="A1711" s="35" t="n"/>
      <c r="B1711" s="35" t="n"/>
      <c r="C1711" s="35" t="n"/>
      <c r="D1711" s="35" t="n"/>
    </row>
    <row r="1712" ht="15" customHeight="1">
      <c r="A1712" s="35" t="n"/>
      <c r="B1712" s="35" t="n"/>
      <c r="C1712" s="35" t="n"/>
      <c r="D1712" s="35" t="n"/>
    </row>
    <row r="1713" ht="15" customHeight="1">
      <c r="A1713" s="35" t="n"/>
      <c r="B1713" s="35" t="n"/>
      <c r="C1713" s="35" t="n"/>
      <c r="D1713" s="35" t="n"/>
    </row>
    <row r="1714" ht="15" customHeight="1">
      <c r="A1714" s="35" t="n"/>
      <c r="B1714" s="35" t="n"/>
      <c r="C1714" s="35" t="n"/>
      <c r="D1714" s="35" t="n"/>
    </row>
    <row r="1715" ht="15" customHeight="1">
      <c r="A1715" s="35" t="n"/>
      <c r="B1715" s="35" t="n"/>
      <c r="C1715" s="35" t="n"/>
      <c r="D1715" s="35" t="n"/>
    </row>
    <row r="1716" ht="15" customHeight="1">
      <c r="A1716" s="35" t="n"/>
      <c r="B1716" s="35" t="n"/>
      <c r="C1716" s="35" t="n"/>
      <c r="D1716" s="35" t="n"/>
    </row>
    <row r="1717" ht="15" customHeight="1">
      <c r="A1717" s="35" t="n"/>
      <c r="B1717" s="35" t="n"/>
      <c r="C1717" s="35" t="n"/>
      <c r="D1717" s="35" t="n"/>
    </row>
    <row r="1718" ht="15" customHeight="1">
      <c r="A1718" s="35" t="n"/>
      <c r="B1718" s="35" t="n"/>
      <c r="C1718" s="35" t="n"/>
      <c r="D1718" s="35" t="n"/>
    </row>
    <row r="1719" ht="15" customHeight="1">
      <c r="A1719" s="35" t="n"/>
      <c r="B1719" s="35" t="n"/>
      <c r="C1719" s="35" t="n"/>
      <c r="D1719" s="35" t="n"/>
    </row>
    <row r="1720" ht="15" customHeight="1">
      <c r="A1720" s="35" t="n"/>
      <c r="B1720" s="35" t="n"/>
      <c r="C1720" s="35" t="n"/>
      <c r="D1720" s="35" t="n"/>
    </row>
    <row r="1721" ht="15" customHeight="1">
      <c r="A1721" s="35" t="n"/>
      <c r="B1721" s="35" t="n"/>
      <c r="C1721" s="35" t="n"/>
      <c r="D1721" s="35" t="n"/>
    </row>
    <row r="1722" ht="15" customHeight="1">
      <c r="A1722" s="35" t="n"/>
      <c r="B1722" s="35" t="n"/>
      <c r="C1722" s="35" t="n"/>
      <c r="D1722" s="35" t="n"/>
    </row>
    <row r="1723" ht="15" customHeight="1">
      <c r="A1723" s="35" t="n"/>
      <c r="B1723" s="35" t="n"/>
      <c r="C1723" s="35" t="n"/>
      <c r="D1723" s="35" t="n"/>
    </row>
    <row r="1724" ht="15" customHeight="1">
      <c r="A1724" s="35" t="n"/>
      <c r="B1724" s="35" t="n"/>
      <c r="C1724" s="35" t="n"/>
      <c r="D1724" s="35" t="n"/>
    </row>
    <row r="1725" ht="15" customHeight="1">
      <c r="A1725" s="35" t="n"/>
      <c r="B1725" s="35" t="n"/>
      <c r="C1725" s="35" t="n"/>
      <c r="D1725" s="35" t="n"/>
    </row>
    <row r="1726" ht="15" customHeight="1">
      <c r="A1726" s="35" t="n"/>
      <c r="B1726" s="35" t="n"/>
      <c r="C1726" s="35" t="n"/>
      <c r="D1726" s="35" t="n"/>
    </row>
    <row r="1727" ht="15" customHeight="1">
      <c r="A1727" s="35" t="n"/>
      <c r="B1727" s="35" t="n"/>
      <c r="C1727" s="35" t="n"/>
      <c r="D1727" s="35" t="n"/>
    </row>
    <row r="1728" ht="15" customHeight="1">
      <c r="A1728" s="35" t="n"/>
      <c r="B1728" s="35" t="n"/>
      <c r="C1728" s="35" t="n"/>
      <c r="D1728" s="35" t="n"/>
    </row>
    <row r="1729" ht="15" customHeight="1">
      <c r="A1729" s="35" t="n"/>
      <c r="B1729" s="35" t="n"/>
      <c r="C1729" s="35" t="n"/>
      <c r="D1729" s="35" t="n"/>
    </row>
    <row r="1730" ht="15" customHeight="1">
      <c r="A1730" s="35" t="n"/>
      <c r="B1730" s="35" t="n"/>
      <c r="C1730" s="35" t="n"/>
      <c r="D1730" s="35" t="n"/>
    </row>
    <row r="1731" ht="15" customHeight="1">
      <c r="A1731" s="35" t="n"/>
      <c r="B1731" s="35" t="n"/>
      <c r="C1731" s="35" t="n"/>
      <c r="D1731" s="35" t="n"/>
    </row>
    <row r="1732" ht="15" customHeight="1">
      <c r="A1732" s="35" t="n"/>
      <c r="B1732" s="35" t="n"/>
      <c r="C1732" s="35" t="n"/>
      <c r="D1732" s="35" t="n"/>
    </row>
    <row r="1733" ht="15" customHeight="1">
      <c r="A1733" s="35" t="n"/>
      <c r="B1733" s="35" t="n"/>
      <c r="C1733" s="35" t="n"/>
      <c r="D1733" s="35" t="n"/>
    </row>
    <row r="1734" ht="15" customHeight="1">
      <c r="A1734" s="35" t="n"/>
      <c r="B1734" s="35" t="n"/>
      <c r="C1734" s="35" t="n"/>
      <c r="D1734" s="35" t="n"/>
    </row>
    <row r="1735" ht="15" customHeight="1">
      <c r="A1735" s="35" t="n"/>
      <c r="B1735" s="35" t="n"/>
      <c r="C1735" s="35" t="n"/>
      <c r="D1735" s="35" t="n"/>
    </row>
    <row r="1736" ht="15" customHeight="1">
      <c r="A1736" s="35" t="n"/>
      <c r="B1736" s="35" t="n"/>
      <c r="C1736" s="35" t="n"/>
      <c r="D1736" s="35" t="n"/>
    </row>
    <row r="1737" ht="15" customHeight="1">
      <c r="A1737" s="35" t="n"/>
      <c r="B1737" s="35" t="n"/>
      <c r="C1737" s="35" t="n"/>
      <c r="D1737" s="35" t="n"/>
    </row>
    <row r="1738" ht="15" customHeight="1">
      <c r="A1738" s="35" t="n"/>
      <c r="B1738" s="35" t="n"/>
      <c r="C1738" s="35" t="n"/>
      <c r="D1738" s="35" t="n"/>
    </row>
    <row r="1739" ht="15" customHeight="1">
      <c r="A1739" s="35" t="n"/>
      <c r="B1739" s="35" t="n"/>
      <c r="C1739" s="35" t="n"/>
      <c r="D1739" s="35" t="n"/>
    </row>
    <row r="1740" ht="15" customHeight="1">
      <c r="A1740" s="35" t="n"/>
      <c r="B1740" s="35" t="n"/>
      <c r="C1740" s="35" t="n"/>
      <c r="D1740" s="35" t="n"/>
    </row>
    <row r="1741" ht="15" customHeight="1">
      <c r="A1741" s="35" t="n"/>
      <c r="B1741" s="35" t="n"/>
      <c r="C1741" s="35" t="n"/>
      <c r="D1741" s="35" t="n"/>
    </row>
    <row r="1742" ht="15" customHeight="1">
      <c r="A1742" s="35" t="n"/>
      <c r="B1742" s="35" t="n"/>
      <c r="C1742" s="35" t="n"/>
      <c r="D1742" s="35" t="n"/>
    </row>
    <row r="1743" ht="15" customHeight="1">
      <c r="A1743" s="35" t="n"/>
      <c r="B1743" s="35" t="n"/>
      <c r="C1743" s="35" t="n"/>
      <c r="D1743" s="35" t="n"/>
    </row>
    <row r="1744" ht="15" customHeight="1">
      <c r="A1744" s="35" t="n"/>
      <c r="B1744" s="35" t="n"/>
      <c r="C1744" s="35" t="n"/>
      <c r="D1744" s="35" t="n"/>
    </row>
    <row r="1745" ht="15" customHeight="1">
      <c r="A1745" s="35" t="n"/>
      <c r="B1745" s="35" t="n"/>
      <c r="C1745" s="35" t="n"/>
      <c r="D1745" s="35" t="n"/>
    </row>
    <row r="1746" ht="15" customHeight="1">
      <c r="A1746" s="35" t="n"/>
      <c r="B1746" s="35" t="n"/>
      <c r="C1746" s="35" t="n"/>
      <c r="D1746" s="35" t="n"/>
    </row>
    <row r="1747" ht="15" customHeight="1">
      <c r="A1747" s="35" t="n"/>
      <c r="B1747" s="35" t="n"/>
      <c r="C1747" s="35" t="n"/>
      <c r="D1747" s="35" t="n"/>
    </row>
    <row r="1748" ht="15" customHeight="1">
      <c r="A1748" s="35" t="n"/>
      <c r="B1748" s="35" t="n"/>
      <c r="C1748" s="35" t="n"/>
      <c r="D1748" s="35" t="n"/>
    </row>
    <row r="1749" ht="15" customHeight="1">
      <c r="A1749" s="35" t="n"/>
      <c r="B1749" s="35" t="n"/>
      <c r="C1749" s="35" t="n"/>
      <c r="D1749" s="35" t="n"/>
    </row>
    <row r="1750" ht="15" customHeight="1">
      <c r="A1750" s="35" t="n"/>
      <c r="B1750" s="35" t="n"/>
      <c r="C1750" s="35" t="n"/>
      <c r="D1750" s="35" t="n"/>
    </row>
    <row r="1751" ht="15" customHeight="1">
      <c r="A1751" s="35" t="n"/>
      <c r="B1751" s="35" t="n"/>
      <c r="C1751" s="35" t="n"/>
      <c r="D1751" s="35" t="n"/>
    </row>
    <row r="1752" ht="15" customHeight="1">
      <c r="A1752" s="35" t="n"/>
      <c r="B1752" s="35" t="n"/>
      <c r="C1752" s="35" t="n"/>
      <c r="D1752" s="35" t="n"/>
    </row>
    <row r="1753" ht="15" customHeight="1">
      <c r="A1753" s="35" t="n"/>
      <c r="B1753" s="35" t="n"/>
      <c r="C1753" s="35" t="n"/>
      <c r="D1753" s="35" t="n"/>
    </row>
    <row r="1754" ht="15" customHeight="1">
      <c r="A1754" s="35" t="n"/>
      <c r="B1754" s="35" t="n"/>
      <c r="C1754" s="35" t="n"/>
      <c r="D1754" s="35" t="n"/>
    </row>
    <row r="1755" ht="15" customHeight="1">
      <c r="A1755" s="35" t="n"/>
      <c r="B1755" s="35" t="n"/>
      <c r="C1755" s="35" t="n"/>
      <c r="D1755" s="35" t="n"/>
    </row>
    <row r="1756" ht="15" customHeight="1">
      <c r="A1756" s="35" t="n"/>
      <c r="B1756" s="35" t="n"/>
      <c r="C1756" s="35" t="n"/>
      <c r="D1756" s="35" t="n"/>
    </row>
    <row r="1757" ht="15" customHeight="1">
      <c r="A1757" s="35" t="n"/>
      <c r="B1757" s="35" t="n"/>
      <c r="C1757" s="35" t="n"/>
      <c r="D1757" s="35" t="n"/>
    </row>
    <row r="1758" ht="15" customHeight="1">
      <c r="A1758" s="35" t="n"/>
      <c r="B1758" s="35" t="n"/>
      <c r="C1758" s="35" t="n"/>
      <c r="D1758" s="35" t="n"/>
    </row>
    <row r="1759" ht="15" customHeight="1">
      <c r="A1759" s="35" t="n"/>
      <c r="B1759" s="35" t="n"/>
      <c r="C1759" s="35" t="n"/>
      <c r="D1759" s="35" t="n"/>
    </row>
    <row r="1760" ht="15" customHeight="1">
      <c r="A1760" s="35" t="n"/>
      <c r="B1760" s="35" t="n"/>
      <c r="C1760" s="35" t="n"/>
      <c r="D1760" s="35" t="n"/>
    </row>
    <row r="1761" ht="15" customHeight="1">
      <c r="A1761" s="35" t="n"/>
      <c r="B1761" s="35" t="n"/>
      <c r="C1761" s="35" t="n"/>
      <c r="D1761" s="35" t="n"/>
    </row>
    <row r="1762" ht="15" customHeight="1">
      <c r="A1762" s="35" t="n"/>
      <c r="B1762" s="35" t="n"/>
      <c r="C1762" s="35" t="n"/>
      <c r="D1762" s="35" t="n"/>
    </row>
    <row r="1763" ht="15" customHeight="1">
      <c r="A1763" s="35" t="n"/>
      <c r="B1763" s="35" t="n"/>
      <c r="C1763" s="35" t="n"/>
      <c r="D1763" s="35" t="n"/>
    </row>
    <row r="1764" ht="15" customHeight="1">
      <c r="A1764" s="35" t="n"/>
      <c r="B1764" s="35" t="n"/>
      <c r="C1764" s="35" t="n"/>
      <c r="D1764" s="35" t="n"/>
    </row>
    <row r="1765" ht="15" customHeight="1">
      <c r="A1765" s="35" t="n"/>
      <c r="B1765" s="35" t="n"/>
      <c r="C1765" s="35" t="n"/>
      <c r="D1765" s="35" t="n"/>
    </row>
    <row r="1766" ht="15" customHeight="1">
      <c r="A1766" s="35" t="n"/>
      <c r="B1766" s="35" t="n"/>
      <c r="C1766" s="35" t="n"/>
      <c r="D1766" s="35" t="n"/>
    </row>
    <row r="1767" ht="15" customHeight="1">
      <c r="A1767" s="35" t="n"/>
      <c r="B1767" s="35" t="n"/>
      <c r="C1767" s="35" t="n"/>
      <c r="D1767" s="35" t="n"/>
    </row>
    <row r="1768" ht="15" customHeight="1">
      <c r="A1768" s="35" t="n"/>
      <c r="B1768" s="35" t="n"/>
      <c r="C1768" s="35" t="n"/>
      <c r="D1768" s="35" t="n"/>
    </row>
    <row r="1769" ht="15" customHeight="1">
      <c r="A1769" s="35" t="n"/>
      <c r="B1769" s="35" t="n"/>
      <c r="C1769" s="35" t="n"/>
      <c r="D1769" s="35" t="n"/>
    </row>
    <row r="1770" ht="15" customHeight="1">
      <c r="A1770" s="35" t="n"/>
      <c r="B1770" s="35" t="n"/>
      <c r="C1770" s="35" t="n"/>
      <c r="D1770" s="35" t="n"/>
    </row>
    <row r="1771" ht="15" customHeight="1">
      <c r="A1771" s="35" t="n"/>
      <c r="B1771" s="35" t="n"/>
      <c r="C1771" s="35" t="n"/>
      <c r="D1771" s="35" t="n"/>
    </row>
    <row r="1772" ht="15" customHeight="1">
      <c r="A1772" s="35" t="n"/>
      <c r="B1772" s="35" t="n"/>
      <c r="C1772" s="35" t="n"/>
      <c r="D1772" s="35" t="n"/>
    </row>
    <row r="1773" ht="15" customHeight="1">
      <c r="A1773" s="35" t="n"/>
      <c r="B1773" s="35" t="n"/>
      <c r="C1773" s="35" t="n"/>
      <c r="D1773" s="35" t="n"/>
    </row>
    <row r="1774" ht="15" customHeight="1">
      <c r="A1774" s="35" t="n"/>
      <c r="B1774" s="35" t="n"/>
      <c r="C1774" s="35" t="n"/>
      <c r="D1774" s="35" t="n"/>
    </row>
    <row r="1775" ht="15" customHeight="1">
      <c r="A1775" s="35" t="n"/>
      <c r="B1775" s="35" t="n"/>
      <c r="C1775" s="35" t="n"/>
      <c r="D1775" s="35" t="n"/>
    </row>
    <row r="1776" ht="15" customHeight="1">
      <c r="A1776" s="35" t="n"/>
      <c r="B1776" s="35" t="n"/>
      <c r="C1776" s="35" t="n"/>
      <c r="D1776" s="35" t="n"/>
    </row>
    <row r="1777" ht="15" customHeight="1">
      <c r="A1777" s="35" t="n"/>
      <c r="B1777" s="35" t="n"/>
      <c r="C1777" s="35" t="n"/>
      <c r="D1777" s="35" t="n"/>
    </row>
    <row r="1778" ht="15" customHeight="1">
      <c r="A1778" s="35" t="n"/>
      <c r="B1778" s="35" t="n"/>
      <c r="C1778" s="35" t="n"/>
      <c r="D1778" s="35" t="n"/>
    </row>
    <row r="1779" ht="15" customHeight="1">
      <c r="A1779" s="35" t="n"/>
      <c r="B1779" s="35" t="n"/>
      <c r="C1779" s="35" t="n"/>
      <c r="D1779" s="35" t="n"/>
    </row>
    <row r="1780" ht="15" customHeight="1">
      <c r="A1780" s="35" t="n"/>
      <c r="B1780" s="35" t="n"/>
      <c r="C1780" s="35" t="n"/>
      <c r="D1780" s="35" t="n"/>
    </row>
    <row r="1781" ht="15" customHeight="1">
      <c r="A1781" s="35" t="n"/>
      <c r="B1781" s="35" t="n"/>
      <c r="C1781" s="35" t="n"/>
      <c r="D1781" s="35" t="n"/>
    </row>
    <row r="1782" ht="15" customHeight="1">
      <c r="A1782" s="35" t="n"/>
      <c r="B1782" s="35" t="n"/>
      <c r="C1782" s="35" t="n"/>
      <c r="D1782" s="35" t="n"/>
    </row>
    <row r="1783" ht="15" customHeight="1">
      <c r="A1783" s="35" t="n"/>
      <c r="B1783" s="35" t="n"/>
      <c r="C1783" s="35" t="n"/>
      <c r="D1783" s="35" t="n"/>
    </row>
    <row r="1784" ht="15" customHeight="1">
      <c r="A1784" s="35" t="n"/>
      <c r="B1784" s="35" t="n"/>
      <c r="C1784" s="35" t="n"/>
      <c r="D1784" s="35" t="n"/>
    </row>
    <row r="1785" ht="15" customHeight="1">
      <c r="A1785" s="35" t="n"/>
      <c r="B1785" s="35" t="n"/>
      <c r="C1785" s="35" t="n"/>
      <c r="D1785" s="35" t="n"/>
    </row>
    <row r="1786" ht="15" customHeight="1">
      <c r="A1786" s="35" t="n"/>
      <c r="B1786" s="35" t="n"/>
      <c r="C1786" s="35" t="n"/>
      <c r="D1786" s="35" t="n"/>
    </row>
    <row r="1787" ht="15" customHeight="1">
      <c r="A1787" s="35" t="n"/>
      <c r="B1787" s="35" t="n"/>
      <c r="C1787" s="35" t="n"/>
      <c r="D1787" s="35" t="n"/>
    </row>
    <row r="1788" ht="15" customHeight="1">
      <c r="A1788" s="35" t="n"/>
      <c r="B1788" s="35" t="n"/>
      <c r="C1788" s="35" t="n"/>
      <c r="D1788" s="35" t="n"/>
    </row>
    <row r="1789" ht="15" customHeight="1">
      <c r="A1789" s="35" t="n"/>
      <c r="B1789" s="35" t="n"/>
      <c r="C1789" s="35" t="n"/>
      <c r="D1789" s="35" t="n"/>
    </row>
    <row r="1790" ht="15" customHeight="1">
      <c r="A1790" s="35" t="n"/>
      <c r="B1790" s="35" t="n"/>
      <c r="C1790" s="35" t="n"/>
      <c r="D1790" s="35" t="n"/>
    </row>
    <row r="1791" ht="15" customHeight="1">
      <c r="A1791" s="35" t="n"/>
      <c r="B1791" s="35" t="n"/>
      <c r="C1791" s="35" t="n"/>
      <c r="D1791" s="35" t="n"/>
    </row>
    <row r="1792" ht="15" customHeight="1">
      <c r="A1792" s="35" t="n"/>
      <c r="B1792" s="35" t="n"/>
      <c r="C1792" s="35" t="n"/>
      <c r="D1792" s="35" t="n"/>
    </row>
    <row r="1793" ht="15" customHeight="1">
      <c r="A1793" s="35" t="n"/>
      <c r="B1793" s="35" t="n"/>
      <c r="C1793" s="35" t="n"/>
      <c r="D1793" s="35" t="n"/>
    </row>
    <row r="1794" ht="15" customHeight="1">
      <c r="A1794" s="35" t="n"/>
      <c r="B1794" s="35" t="n"/>
      <c r="C1794" s="35" t="n"/>
      <c r="D1794" s="35" t="n"/>
    </row>
    <row r="1795" ht="15" customHeight="1">
      <c r="A1795" s="35" t="n"/>
      <c r="B1795" s="35" t="n"/>
      <c r="C1795" s="35" t="n"/>
      <c r="D1795" s="35" t="n"/>
    </row>
    <row r="1796" ht="15" customHeight="1">
      <c r="A1796" s="35" t="n"/>
      <c r="B1796" s="35" t="n"/>
      <c r="C1796" s="35" t="n"/>
      <c r="D1796" s="35" t="n"/>
    </row>
    <row r="1797" ht="15" customHeight="1">
      <c r="A1797" s="35" t="n"/>
      <c r="B1797" s="35" t="n"/>
      <c r="C1797" s="35" t="n"/>
      <c r="D1797" s="35" t="n"/>
    </row>
    <row r="1798" ht="15" customHeight="1">
      <c r="A1798" s="35" t="n"/>
      <c r="B1798" s="35" t="n"/>
      <c r="C1798" s="35" t="n"/>
      <c r="D1798" s="35" t="n"/>
    </row>
    <row r="1799" ht="15" customHeight="1">
      <c r="A1799" s="35" t="n"/>
      <c r="B1799" s="35" t="n"/>
      <c r="C1799" s="35" t="n"/>
      <c r="D1799" s="35" t="n"/>
    </row>
    <row r="1800" ht="15" customHeight="1">
      <c r="A1800" s="35" t="n"/>
      <c r="B1800" s="35" t="n"/>
      <c r="C1800" s="35" t="n"/>
      <c r="D1800" s="35" t="n"/>
    </row>
    <row r="1801" ht="15" customHeight="1">
      <c r="A1801" s="35" t="n"/>
      <c r="B1801" s="35" t="n"/>
      <c r="C1801" s="35" t="n"/>
      <c r="D1801" s="35" t="n"/>
    </row>
    <row r="1802" ht="15" customHeight="1">
      <c r="A1802" s="35" t="n"/>
      <c r="B1802" s="35" t="n"/>
      <c r="C1802" s="35" t="n"/>
      <c r="D1802" s="35" t="n"/>
    </row>
    <row r="1803" ht="15" customHeight="1">
      <c r="A1803" s="35" t="n"/>
      <c r="B1803" s="35" t="n"/>
      <c r="C1803" s="35" t="n"/>
      <c r="D1803" s="35" t="n"/>
    </row>
    <row r="1804" ht="15" customHeight="1">
      <c r="A1804" s="35" t="n"/>
      <c r="B1804" s="35" t="n"/>
      <c r="C1804" s="35" t="n"/>
      <c r="D1804" s="35" t="n"/>
    </row>
    <row r="1805" ht="15" customHeight="1">
      <c r="A1805" s="35" t="n"/>
      <c r="B1805" s="35" t="n"/>
      <c r="C1805" s="35" t="n"/>
      <c r="D1805" s="35" t="n"/>
    </row>
    <row r="1806" ht="15" customHeight="1">
      <c r="A1806" s="35" t="n"/>
      <c r="B1806" s="35" t="n"/>
      <c r="C1806" s="35" t="n"/>
      <c r="D1806" s="35" t="n"/>
    </row>
    <row r="1807" ht="15" customHeight="1">
      <c r="A1807" s="35" t="n"/>
      <c r="B1807" s="35" t="n"/>
      <c r="C1807" s="35" t="n"/>
      <c r="D1807" s="35" t="n"/>
    </row>
    <row r="1808" ht="15" customHeight="1">
      <c r="A1808" s="35" t="n"/>
      <c r="B1808" s="35" t="n"/>
      <c r="C1808" s="35" t="n"/>
      <c r="D1808" s="35" t="n"/>
    </row>
    <row r="1809" ht="15" customHeight="1">
      <c r="A1809" s="35" t="n"/>
      <c r="B1809" s="35" t="n"/>
      <c r="C1809" s="35" t="n"/>
      <c r="D1809" s="35" t="n"/>
    </row>
    <row r="1810" ht="15" customHeight="1">
      <c r="A1810" s="35" t="n"/>
      <c r="B1810" s="35" t="n"/>
      <c r="C1810" s="35" t="n"/>
      <c r="D1810" s="35" t="n"/>
    </row>
    <row r="1811" ht="15" customHeight="1">
      <c r="A1811" s="35" t="n"/>
      <c r="B1811" s="35" t="n"/>
      <c r="C1811" s="35" t="n"/>
      <c r="D1811" s="35" t="n"/>
    </row>
    <row r="1812" ht="15" customHeight="1">
      <c r="A1812" s="35" t="n"/>
      <c r="B1812" s="35" t="n"/>
      <c r="C1812" s="35" t="n"/>
      <c r="D1812" s="35" t="n"/>
    </row>
    <row r="1813" ht="15" customHeight="1">
      <c r="A1813" s="35" t="n"/>
      <c r="B1813" s="35" t="n"/>
      <c r="C1813" s="35" t="n"/>
      <c r="D1813" s="35" t="n"/>
    </row>
    <row r="1814" ht="15" customHeight="1">
      <c r="A1814" s="35" t="n"/>
      <c r="B1814" s="35" t="n"/>
      <c r="C1814" s="35" t="n"/>
      <c r="D1814" s="35" t="n"/>
    </row>
    <row r="1815" ht="15" customHeight="1">
      <c r="A1815" s="35" t="n"/>
      <c r="B1815" s="35" t="n"/>
      <c r="C1815" s="35" t="n"/>
      <c r="D1815" s="35" t="n"/>
    </row>
    <row r="1816" ht="15" customHeight="1">
      <c r="A1816" s="35" t="n"/>
      <c r="B1816" s="35" t="n"/>
      <c r="C1816" s="35" t="n"/>
      <c r="D1816" s="35" t="n"/>
    </row>
    <row r="1817" ht="15" customHeight="1">
      <c r="A1817" s="35" t="n"/>
      <c r="B1817" s="35" t="n"/>
      <c r="C1817" s="35" t="n"/>
      <c r="D1817" s="35" t="n"/>
    </row>
    <row r="1818" ht="15" customHeight="1">
      <c r="A1818" s="35" t="n"/>
      <c r="B1818" s="35" t="n"/>
      <c r="C1818" s="35" t="n"/>
      <c r="D1818" s="35" t="n"/>
    </row>
    <row r="1819" ht="15" customHeight="1">
      <c r="A1819" s="35" t="n"/>
      <c r="B1819" s="35" t="n"/>
      <c r="C1819" s="35" t="n"/>
      <c r="D1819" s="35" t="n"/>
    </row>
    <row r="1820" ht="15" customHeight="1">
      <c r="A1820" s="35" t="n"/>
      <c r="B1820" s="35" t="n"/>
      <c r="C1820" s="35" t="n"/>
      <c r="D1820" s="35" t="n"/>
    </row>
    <row r="1821" ht="15" customHeight="1">
      <c r="A1821" s="35" t="n"/>
      <c r="B1821" s="35" t="n"/>
      <c r="C1821" s="35" t="n"/>
      <c r="D1821" s="35" t="n"/>
    </row>
    <row r="1822" ht="15" customHeight="1">
      <c r="A1822" s="35" t="n"/>
      <c r="B1822" s="35" t="n"/>
      <c r="C1822" s="35" t="n"/>
      <c r="D1822" s="35" t="n"/>
    </row>
    <row r="1823" ht="15" customHeight="1">
      <c r="A1823" s="35" t="n"/>
      <c r="B1823" s="35" t="n"/>
      <c r="C1823" s="35" t="n"/>
      <c r="D1823" s="35" t="n"/>
    </row>
    <row r="1824" ht="15" customHeight="1">
      <c r="A1824" s="35" t="n"/>
      <c r="B1824" s="35" t="n"/>
      <c r="C1824" s="35" t="n"/>
      <c r="D1824" s="35" t="n"/>
    </row>
    <row r="1825" ht="15" customHeight="1">
      <c r="A1825" s="35" t="n"/>
      <c r="B1825" s="35" t="n"/>
      <c r="C1825" s="35" t="n"/>
      <c r="D1825" s="35" t="n"/>
    </row>
    <row r="1826" ht="15" customHeight="1">
      <c r="A1826" s="35" t="n"/>
      <c r="B1826" s="35" t="n"/>
      <c r="C1826" s="35" t="n"/>
      <c r="D1826" s="35" t="n"/>
    </row>
    <row r="1827" ht="15" customHeight="1">
      <c r="A1827" s="35" t="n"/>
      <c r="B1827" s="35" t="n"/>
      <c r="C1827" s="35" t="n"/>
      <c r="D1827" s="35" t="n"/>
    </row>
    <row r="1828" ht="15" customHeight="1">
      <c r="A1828" s="35" t="n"/>
      <c r="B1828" s="35" t="n"/>
      <c r="C1828" s="35" t="n"/>
      <c r="D1828" s="35" t="n"/>
    </row>
    <row r="1829" ht="15" customHeight="1">
      <c r="A1829" s="35" t="n"/>
      <c r="B1829" s="35" t="n"/>
      <c r="C1829" s="35" t="n"/>
      <c r="D1829" s="35" t="n"/>
    </row>
    <row r="1830" ht="15" customHeight="1">
      <c r="A1830" s="35" t="n"/>
      <c r="B1830" s="35" t="n"/>
      <c r="C1830" s="35" t="n"/>
      <c r="D1830" s="35" t="n"/>
    </row>
    <row r="1831" ht="15" customHeight="1">
      <c r="A1831" s="35" t="n"/>
      <c r="B1831" s="35" t="n"/>
      <c r="C1831" s="35" t="n"/>
      <c r="D1831" s="35" t="n"/>
    </row>
    <row r="1832" ht="15" customHeight="1">
      <c r="A1832" s="35" t="n"/>
      <c r="B1832" s="35" t="n"/>
      <c r="C1832" s="35" t="n"/>
      <c r="D1832" s="35" t="n"/>
    </row>
    <row r="1833" ht="15" customHeight="1">
      <c r="A1833" s="35" t="n"/>
      <c r="B1833" s="35" t="n"/>
      <c r="C1833" s="35" t="n"/>
      <c r="D1833" s="35" t="n"/>
    </row>
    <row r="1834" ht="15" customHeight="1">
      <c r="A1834" s="35" t="n"/>
      <c r="B1834" s="35" t="n"/>
      <c r="C1834" s="35" t="n"/>
      <c r="D1834" s="35" t="n"/>
    </row>
    <row r="1835" ht="15" customHeight="1">
      <c r="A1835" s="35" t="n"/>
      <c r="B1835" s="35" t="n"/>
      <c r="C1835" s="35" t="n"/>
      <c r="D1835" s="35" t="n"/>
    </row>
    <row r="1836" ht="15" customHeight="1">
      <c r="A1836" s="35" t="n"/>
      <c r="B1836" s="35" t="n"/>
      <c r="C1836" s="35" t="n"/>
      <c r="D1836" s="35" t="n"/>
    </row>
    <row r="1837" ht="15" customHeight="1">
      <c r="A1837" s="35" t="n"/>
      <c r="B1837" s="35" t="n"/>
      <c r="C1837" s="35" t="n"/>
      <c r="D1837" s="35" t="n"/>
    </row>
    <row r="1838" ht="15" customHeight="1">
      <c r="A1838" s="35" t="n"/>
      <c r="B1838" s="35" t="n"/>
      <c r="C1838" s="35" t="n"/>
      <c r="D1838" s="35" t="n"/>
    </row>
    <row r="1839" ht="15" customHeight="1">
      <c r="A1839" s="35" t="n"/>
      <c r="B1839" s="35" t="n"/>
      <c r="C1839" s="35" t="n"/>
      <c r="D1839" s="35" t="n"/>
    </row>
    <row r="1840" ht="15" customHeight="1">
      <c r="A1840" s="35" t="n"/>
      <c r="B1840" s="35" t="n"/>
      <c r="C1840" s="35" t="n"/>
      <c r="D1840" s="35" t="n"/>
    </row>
    <row r="1841" ht="15" customHeight="1">
      <c r="A1841" s="35" t="n"/>
      <c r="B1841" s="35" t="n"/>
      <c r="C1841" s="35" t="n"/>
      <c r="D1841" s="35" t="n"/>
    </row>
    <row r="1842" ht="15" customHeight="1">
      <c r="A1842" s="35" t="n"/>
      <c r="B1842" s="35" t="n"/>
      <c r="C1842" s="35" t="n"/>
      <c r="D1842" s="35" t="n"/>
    </row>
    <row r="1843" ht="15" customHeight="1">
      <c r="A1843" s="35" t="n"/>
      <c r="B1843" s="35" t="n"/>
      <c r="C1843" s="35" t="n"/>
      <c r="D1843" s="35" t="n"/>
    </row>
    <row r="1844" ht="15" customHeight="1">
      <c r="A1844" s="35" t="n"/>
      <c r="B1844" s="35" t="n"/>
      <c r="C1844" s="35" t="n"/>
      <c r="D1844" s="35" t="n"/>
    </row>
    <row r="1845" ht="15" customHeight="1">
      <c r="A1845" s="35" t="n"/>
      <c r="B1845" s="35" t="n"/>
      <c r="C1845" s="35" t="n"/>
      <c r="D1845" s="35" t="n"/>
    </row>
    <row r="1846" ht="15" customHeight="1">
      <c r="A1846" s="35" t="n"/>
      <c r="B1846" s="35" t="n"/>
      <c r="C1846" s="35" t="n"/>
      <c r="D1846" s="35" t="n"/>
    </row>
    <row r="1847" ht="15" customHeight="1">
      <c r="A1847" s="35" t="n"/>
      <c r="B1847" s="35" t="n"/>
      <c r="C1847" s="35" t="n"/>
      <c r="D1847" s="35" t="n"/>
    </row>
    <row r="1848" ht="15" customHeight="1">
      <c r="A1848" s="35" t="n"/>
      <c r="B1848" s="35" t="n"/>
      <c r="C1848" s="35" t="n"/>
      <c r="D1848" s="35" t="n"/>
    </row>
    <row r="1849" ht="15" customHeight="1">
      <c r="A1849" s="35" t="n"/>
      <c r="B1849" s="35" t="n"/>
      <c r="C1849" s="35" t="n"/>
      <c r="D1849" s="35" t="n"/>
    </row>
    <row r="1850" ht="15" customHeight="1">
      <c r="A1850" s="35" t="n"/>
      <c r="B1850" s="35" t="n"/>
      <c r="C1850" s="35" t="n"/>
      <c r="D1850" s="35" t="n"/>
    </row>
    <row r="1851" ht="15" customHeight="1">
      <c r="A1851" s="35" t="n"/>
      <c r="B1851" s="35" t="n"/>
      <c r="C1851" s="35" t="n"/>
      <c r="D1851" s="35" t="n"/>
    </row>
    <row r="1852" ht="15" customHeight="1">
      <c r="A1852" s="35" t="n"/>
      <c r="B1852" s="35" t="n"/>
      <c r="C1852" s="35" t="n"/>
      <c r="D1852" s="35" t="n"/>
    </row>
    <row r="1853" ht="15" customHeight="1">
      <c r="A1853" s="35" t="n"/>
      <c r="B1853" s="35" t="n"/>
      <c r="C1853" s="35" t="n"/>
      <c r="D1853" s="35" t="n"/>
    </row>
    <row r="1854" ht="15" customHeight="1">
      <c r="A1854" s="35" t="n"/>
      <c r="B1854" s="35" t="n"/>
      <c r="C1854" s="35" t="n"/>
      <c r="D1854" s="35" t="n"/>
    </row>
    <row r="1855" ht="15" customHeight="1">
      <c r="A1855" s="35" t="n"/>
      <c r="B1855" s="35" t="n"/>
      <c r="C1855" s="35" t="n"/>
      <c r="D1855" s="35" t="n"/>
    </row>
    <row r="1856" ht="15" customHeight="1">
      <c r="A1856" s="35" t="n"/>
      <c r="B1856" s="35" t="n"/>
      <c r="C1856" s="35" t="n"/>
      <c r="D1856" s="35" t="n"/>
    </row>
    <row r="1857" ht="15" customHeight="1">
      <c r="A1857" s="35" t="n"/>
      <c r="B1857" s="35" t="n"/>
      <c r="C1857" s="35" t="n"/>
      <c r="D1857" s="35" t="n"/>
    </row>
    <row r="1858" ht="15" customHeight="1">
      <c r="A1858" s="35" t="n"/>
      <c r="B1858" s="35" t="n"/>
      <c r="C1858" s="35" t="n"/>
      <c r="D1858" s="35" t="n"/>
    </row>
    <row r="1859" ht="15" customHeight="1">
      <c r="A1859" s="35" t="n"/>
      <c r="B1859" s="35" t="n"/>
      <c r="C1859" s="35" t="n"/>
      <c r="D1859" s="35" t="n"/>
    </row>
    <row r="1860" ht="15" customHeight="1">
      <c r="A1860" s="35" t="n"/>
      <c r="B1860" s="35" t="n"/>
      <c r="C1860" s="35" t="n"/>
      <c r="D1860" s="35" t="n"/>
    </row>
    <row r="1861" ht="15" customHeight="1">
      <c r="A1861" s="35" t="n"/>
      <c r="B1861" s="35" t="n"/>
      <c r="C1861" s="35" t="n"/>
      <c r="D1861" s="35" t="n"/>
    </row>
    <row r="1862" ht="15" customHeight="1">
      <c r="A1862" s="35" t="n"/>
      <c r="B1862" s="35" t="n"/>
      <c r="C1862" s="35" t="n"/>
      <c r="D1862" s="35" t="n"/>
    </row>
    <row r="1863" ht="15" customHeight="1">
      <c r="A1863" s="35" t="n"/>
      <c r="B1863" s="35" t="n"/>
      <c r="C1863" s="35" t="n"/>
      <c r="D1863" s="35" t="n"/>
    </row>
    <row r="1864" ht="15" customHeight="1">
      <c r="A1864" s="35" t="n"/>
      <c r="B1864" s="35" t="n"/>
      <c r="C1864" s="35" t="n"/>
      <c r="D1864" s="35" t="n"/>
    </row>
    <row r="1865" ht="15" customHeight="1">
      <c r="A1865" s="35" t="n"/>
      <c r="B1865" s="35" t="n"/>
      <c r="C1865" s="35" t="n"/>
      <c r="D1865" s="35" t="n"/>
    </row>
    <row r="1866" ht="15" customHeight="1">
      <c r="A1866" s="35" t="n"/>
      <c r="B1866" s="35" t="n"/>
      <c r="C1866" s="35" t="n"/>
      <c r="D1866" s="35" t="n"/>
    </row>
    <row r="1867" ht="15" customHeight="1">
      <c r="A1867" s="35" t="n"/>
      <c r="B1867" s="35" t="n"/>
      <c r="C1867" s="35" t="n"/>
      <c r="D1867" s="35" t="n"/>
    </row>
    <row r="1868" ht="15" customHeight="1">
      <c r="A1868" s="35" t="n"/>
      <c r="B1868" s="35" t="n"/>
      <c r="C1868" s="35" t="n"/>
      <c r="D1868" s="35" t="n"/>
    </row>
    <row r="1869" ht="15" customHeight="1">
      <c r="A1869" s="35" t="n"/>
      <c r="B1869" s="35" t="n"/>
      <c r="C1869" s="35" t="n"/>
      <c r="D1869" s="35" t="n"/>
    </row>
    <row r="1870" ht="15" customHeight="1">
      <c r="A1870" s="35" t="n"/>
      <c r="B1870" s="35" t="n"/>
      <c r="C1870" s="35" t="n"/>
      <c r="D1870" s="35" t="n"/>
    </row>
    <row r="1871" ht="15" customHeight="1">
      <c r="A1871" s="35" t="n"/>
      <c r="B1871" s="35" t="n"/>
      <c r="C1871" s="35" t="n"/>
      <c r="D1871" s="35" t="n"/>
    </row>
    <row r="1872" ht="15" customHeight="1">
      <c r="A1872" s="35" t="n"/>
      <c r="B1872" s="35" t="n"/>
      <c r="C1872" s="35" t="n"/>
      <c r="D1872" s="35" t="n"/>
    </row>
    <row r="1873" ht="15" customHeight="1">
      <c r="A1873" s="35" t="n"/>
      <c r="B1873" s="35" t="n"/>
      <c r="C1873" s="35" t="n"/>
      <c r="D1873" s="35" t="n"/>
    </row>
    <row r="1874" ht="15" customHeight="1">
      <c r="A1874" s="35" t="n"/>
      <c r="B1874" s="35" t="n"/>
      <c r="C1874" s="35" t="n"/>
      <c r="D1874" s="35" t="n"/>
    </row>
    <row r="1875" ht="15" customHeight="1">
      <c r="A1875" s="35" t="n"/>
      <c r="B1875" s="35" t="n"/>
      <c r="C1875" s="35" t="n"/>
      <c r="D1875" s="35" t="n"/>
    </row>
    <row r="1876" ht="15" customHeight="1">
      <c r="A1876" s="35" t="n"/>
      <c r="B1876" s="35" t="n"/>
      <c r="C1876" s="35" t="n"/>
      <c r="D1876" s="35" t="n"/>
    </row>
    <row r="1877" ht="15" customHeight="1">
      <c r="A1877" s="35" t="n"/>
      <c r="B1877" s="35" t="n"/>
      <c r="C1877" s="35" t="n"/>
      <c r="D1877" s="35" t="n"/>
    </row>
    <row r="1878" ht="15" customHeight="1">
      <c r="A1878" s="35" t="n"/>
      <c r="B1878" s="35" t="n"/>
      <c r="C1878" s="35" t="n"/>
      <c r="D1878" s="35" t="n"/>
    </row>
    <row r="1879" ht="15" customHeight="1">
      <c r="A1879" s="35" t="n"/>
      <c r="B1879" s="35" t="n"/>
      <c r="C1879" s="35" t="n"/>
      <c r="D1879" s="35" t="n"/>
    </row>
    <row r="1880" ht="15" customHeight="1">
      <c r="A1880" s="35" t="n"/>
      <c r="B1880" s="35" t="n"/>
      <c r="C1880" s="35" t="n"/>
      <c r="D1880" s="35" t="n"/>
    </row>
    <row r="1881" ht="15" customHeight="1">
      <c r="A1881" s="35" t="n"/>
      <c r="B1881" s="35" t="n"/>
      <c r="C1881" s="35" t="n"/>
      <c r="D1881" s="35" t="n"/>
    </row>
    <row r="1882" ht="15" customHeight="1">
      <c r="A1882" s="35" t="n"/>
      <c r="B1882" s="35" t="n"/>
      <c r="C1882" s="35" t="n"/>
      <c r="D1882" s="35" t="n"/>
    </row>
    <row r="1883" ht="15" customHeight="1">
      <c r="A1883" s="35" t="n"/>
      <c r="B1883" s="35" t="n"/>
      <c r="C1883" s="35" t="n"/>
      <c r="D1883" s="35" t="n"/>
    </row>
    <row r="1884" ht="15" customHeight="1">
      <c r="A1884" s="35" t="n"/>
      <c r="B1884" s="35" t="n"/>
      <c r="C1884" s="35" t="n"/>
      <c r="D1884" s="35" t="n"/>
    </row>
    <row r="1885" ht="15" customHeight="1">
      <c r="A1885" s="35" t="n"/>
      <c r="B1885" s="35" t="n"/>
      <c r="C1885" s="35" t="n"/>
      <c r="D1885" s="35" t="n"/>
    </row>
    <row r="1886" ht="15" customHeight="1">
      <c r="A1886" s="35" t="n"/>
      <c r="B1886" s="35" t="n"/>
      <c r="C1886" s="35" t="n"/>
      <c r="D1886" s="35" t="n"/>
    </row>
    <row r="1887" ht="15" customHeight="1">
      <c r="A1887" s="35" t="n"/>
      <c r="B1887" s="35" t="n"/>
      <c r="C1887" s="35" t="n"/>
      <c r="D1887" s="35" t="n"/>
    </row>
    <row r="1888" ht="15" customHeight="1">
      <c r="A1888" s="35" t="n"/>
      <c r="B1888" s="35" t="n"/>
      <c r="C1888" s="35" t="n"/>
      <c r="D1888" s="35" t="n"/>
    </row>
    <row r="1889" ht="15" customHeight="1">
      <c r="A1889" s="35" t="n"/>
      <c r="B1889" s="35" t="n"/>
      <c r="C1889" s="35" t="n"/>
      <c r="D1889" s="35" t="n"/>
    </row>
    <row r="1890" ht="15" customHeight="1">
      <c r="A1890" s="35" t="n"/>
      <c r="B1890" s="35" t="n"/>
      <c r="C1890" s="35" t="n"/>
      <c r="D1890" s="35" t="n"/>
    </row>
    <row r="1891" ht="15" customHeight="1">
      <c r="A1891" s="35" t="n"/>
      <c r="B1891" s="35" t="n"/>
      <c r="C1891" s="35" t="n"/>
      <c r="D1891" s="35" t="n"/>
    </row>
    <row r="1892" ht="15" customHeight="1">
      <c r="A1892" s="35" t="n"/>
      <c r="B1892" s="35" t="n"/>
      <c r="C1892" s="35" t="n"/>
      <c r="D1892" s="35" t="n"/>
    </row>
    <row r="1893" ht="15" customHeight="1">
      <c r="A1893" s="35" t="n"/>
      <c r="B1893" s="35" t="n"/>
      <c r="C1893" s="35" t="n"/>
      <c r="D1893" s="35" t="n"/>
    </row>
    <row r="1894" ht="15" customHeight="1">
      <c r="A1894" s="35" t="n"/>
      <c r="B1894" s="35" t="n"/>
      <c r="C1894" s="35" t="n"/>
      <c r="D1894" s="35" t="n"/>
    </row>
    <row r="1895" ht="15" customHeight="1">
      <c r="A1895" s="35" t="n"/>
      <c r="B1895" s="35" t="n"/>
      <c r="C1895" s="35" t="n"/>
      <c r="D1895" s="35" t="n"/>
    </row>
    <row r="1896" ht="15" customHeight="1">
      <c r="A1896" s="35" t="n"/>
      <c r="B1896" s="35" t="n"/>
      <c r="C1896" s="35" t="n"/>
      <c r="D1896" s="35" t="n"/>
    </row>
    <row r="1897" ht="15" customHeight="1">
      <c r="A1897" s="35" t="n"/>
      <c r="B1897" s="35" t="n"/>
      <c r="C1897" s="35" t="n"/>
      <c r="D1897" s="35" t="n"/>
    </row>
    <row r="1898" ht="15" customHeight="1">
      <c r="A1898" s="35" t="n"/>
      <c r="B1898" s="35" t="n"/>
      <c r="C1898" s="35" t="n"/>
      <c r="D1898" s="35" t="n"/>
    </row>
    <row r="1899" ht="15" customHeight="1">
      <c r="A1899" s="35" t="n"/>
      <c r="B1899" s="35" t="n"/>
      <c r="C1899" s="35" t="n"/>
      <c r="D1899" s="35" t="n"/>
    </row>
    <row r="1900" ht="15" customHeight="1">
      <c r="A1900" s="35" t="n"/>
      <c r="B1900" s="35" t="n"/>
      <c r="C1900" s="35" t="n"/>
      <c r="D1900" s="35" t="n"/>
    </row>
    <row r="1901" ht="15" customHeight="1">
      <c r="A1901" s="35" t="n"/>
      <c r="B1901" s="35" t="n"/>
      <c r="C1901" s="35" t="n"/>
      <c r="D1901" s="35" t="n"/>
    </row>
    <row r="1902" ht="15" customHeight="1">
      <c r="A1902" s="35" t="n"/>
      <c r="B1902" s="35" t="n"/>
      <c r="C1902" s="35" t="n"/>
      <c r="D1902" s="35" t="n"/>
    </row>
    <row r="1903" ht="15" customHeight="1">
      <c r="A1903" s="35" t="n"/>
      <c r="B1903" s="35" t="n"/>
      <c r="C1903" s="35" t="n"/>
      <c r="D1903" s="35" t="n"/>
    </row>
    <row r="1904" ht="15" customHeight="1">
      <c r="A1904" s="35" t="n"/>
      <c r="B1904" s="35" t="n"/>
      <c r="C1904" s="35" t="n"/>
      <c r="D1904" s="35" t="n"/>
    </row>
    <row r="1905" ht="15" customHeight="1">
      <c r="A1905" s="35" t="n"/>
      <c r="B1905" s="35" t="n"/>
      <c r="C1905" s="35" t="n"/>
      <c r="D1905" s="35" t="n"/>
    </row>
    <row r="1906" ht="15" customHeight="1">
      <c r="A1906" s="35" t="n"/>
      <c r="B1906" s="35" t="n"/>
      <c r="C1906" s="35" t="n"/>
      <c r="D1906" s="35" t="n"/>
    </row>
    <row r="1907" ht="15" customHeight="1">
      <c r="A1907" s="35" t="n"/>
      <c r="B1907" s="35" t="n"/>
      <c r="C1907" s="35" t="n"/>
      <c r="D1907" s="35" t="n"/>
    </row>
    <row r="1908" ht="15" customHeight="1">
      <c r="A1908" s="35" t="n"/>
      <c r="B1908" s="35" t="n"/>
      <c r="C1908" s="35" t="n"/>
      <c r="D1908" s="35" t="n"/>
    </row>
    <row r="1909" ht="15" customHeight="1">
      <c r="A1909" s="35" t="n"/>
      <c r="B1909" s="35" t="n"/>
      <c r="C1909" s="35" t="n"/>
      <c r="D1909" s="35" t="n"/>
    </row>
    <row r="1910" ht="15" customHeight="1">
      <c r="A1910" s="35" t="n"/>
      <c r="B1910" s="35" t="n"/>
      <c r="C1910" s="35" t="n"/>
      <c r="D1910" s="35" t="n"/>
    </row>
    <row r="1911" ht="15" customHeight="1">
      <c r="A1911" s="35" t="n"/>
      <c r="B1911" s="35" t="n"/>
      <c r="C1911" s="35" t="n"/>
      <c r="D1911" s="35" t="n"/>
    </row>
    <row r="1912" ht="15" customHeight="1">
      <c r="A1912" s="35" t="n"/>
      <c r="B1912" s="35" t="n"/>
      <c r="C1912" s="35" t="n"/>
      <c r="D1912" s="35" t="n"/>
    </row>
    <row r="1913" ht="15" customHeight="1">
      <c r="A1913" s="35" t="n"/>
      <c r="B1913" s="35" t="n"/>
      <c r="C1913" s="35" t="n"/>
      <c r="D1913" s="35" t="n"/>
    </row>
    <row r="1914" ht="15" customHeight="1">
      <c r="A1914" s="35" t="n"/>
      <c r="B1914" s="35" t="n"/>
      <c r="C1914" s="35" t="n"/>
      <c r="D1914" s="35" t="n"/>
    </row>
    <row r="1915" ht="15" customHeight="1">
      <c r="A1915" s="35" t="n"/>
      <c r="B1915" s="35" t="n"/>
      <c r="C1915" s="35" t="n"/>
      <c r="D1915" s="35" t="n"/>
    </row>
    <row r="1916" ht="15" customHeight="1">
      <c r="A1916" s="35" t="n"/>
      <c r="B1916" s="35" t="n"/>
      <c r="C1916" s="35" t="n"/>
      <c r="D1916" s="35" t="n"/>
    </row>
    <row r="1917" ht="15" customHeight="1">
      <c r="A1917" s="35" t="n"/>
      <c r="B1917" s="35" t="n"/>
      <c r="C1917" s="35" t="n"/>
      <c r="D1917" s="35" t="n"/>
    </row>
    <row r="1918" ht="15" customHeight="1">
      <c r="A1918" s="35" t="n"/>
      <c r="B1918" s="35" t="n"/>
      <c r="C1918" s="35" t="n"/>
      <c r="D1918" s="35" t="n"/>
    </row>
    <row r="1919" ht="15" customHeight="1">
      <c r="A1919" s="35" t="n"/>
      <c r="B1919" s="35" t="n"/>
      <c r="C1919" s="35" t="n"/>
      <c r="D1919" s="35" t="n"/>
    </row>
    <row r="1920" ht="15" customHeight="1">
      <c r="A1920" s="35" t="n"/>
      <c r="B1920" s="35" t="n"/>
      <c r="C1920" s="35" t="n"/>
      <c r="D1920" s="35" t="n"/>
    </row>
    <row r="1921" ht="15" customHeight="1">
      <c r="A1921" s="35" t="n"/>
      <c r="B1921" s="35" t="n"/>
      <c r="C1921" s="35" t="n"/>
      <c r="D1921" s="35" t="n"/>
    </row>
    <row r="1922" ht="15" customHeight="1">
      <c r="A1922" s="35" t="n"/>
      <c r="B1922" s="35" t="n"/>
      <c r="C1922" s="35" t="n"/>
      <c r="D1922" s="35" t="n"/>
    </row>
    <row r="1923" ht="15" customHeight="1">
      <c r="A1923" s="35" t="n"/>
      <c r="B1923" s="35" t="n"/>
      <c r="C1923" s="35" t="n"/>
      <c r="D1923" s="35" t="n"/>
    </row>
    <row r="1924" ht="15" customHeight="1">
      <c r="A1924" s="35" t="n"/>
      <c r="B1924" s="35" t="n"/>
      <c r="C1924" s="35" t="n"/>
      <c r="D1924" s="35" t="n"/>
    </row>
    <row r="1925" ht="15" customHeight="1">
      <c r="A1925" s="35" t="n"/>
      <c r="B1925" s="35" t="n"/>
      <c r="C1925" s="35" t="n"/>
      <c r="D1925" s="35" t="n"/>
    </row>
    <row r="1926" ht="15" customHeight="1">
      <c r="A1926" s="35" t="n"/>
      <c r="B1926" s="35" t="n"/>
      <c r="C1926" s="35" t="n"/>
      <c r="D1926" s="35" t="n"/>
    </row>
    <row r="1927" ht="15" customHeight="1">
      <c r="A1927" s="35" t="n"/>
      <c r="B1927" s="35" t="n"/>
      <c r="C1927" s="35" t="n"/>
      <c r="D1927" s="35" t="n"/>
    </row>
    <row r="1928" ht="15" customHeight="1">
      <c r="A1928" s="35" t="n"/>
      <c r="B1928" s="35" t="n"/>
      <c r="C1928" s="35" t="n"/>
      <c r="D1928" s="35" t="n"/>
    </row>
    <row r="1929" ht="15" customHeight="1">
      <c r="A1929" s="35" t="n"/>
      <c r="B1929" s="35" t="n"/>
      <c r="C1929" s="35" t="n"/>
      <c r="D1929" s="35" t="n"/>
    </row>
    <row r="1930" ht="15" customHeight="1">
      <c r="A1930" s="35" t="n"/>
      <c r="B1930" s="35" t="n"/>
      <c r="C1930" s="35" t="n"/>
      <c r="D1930" s="35" t="n"/>
    </row>
    <row r="1931" ht="15" customHeight="1">
      <c r="A1931" s="35" t="n"/>
      <c r="B1931" s="35" t="n"/>
      <c r="C1931" s="35" t="n"/>
      <c r="D1931" s="35" t="n"/>
    </row>
    <row r="1932" ht="15" customHeight="1">
      <c r="A1932" s="35" t="n"/>
      <c r="B1932" s="35" t="n"/>
      <c r="C1932" s="35" t="n"/>
      <c r="D1932" s="35" t="n"/>
    </row>
    <row r="1933" ht="15" customHeight="1">
      <c r="A1933" s="35" t="n"/>
      <c r="B1933" s="35" t="n"/>
      <c r="C1933" s="35" t="n"/>
      <c r="D1933" s="35" t="n"/>
    </row>
    <row r="1934" ht="15" customHeight="1">
      <c r="A1934" s="35" t="n"/>
      <c r="B1934" s="35" t="n"/>
      <c r="C1934" s="35" t="n"/>
      <c r="D1934" s="35" t="n"/>
    </row>
    <row r="1935" ht="15" customHeight="1">
      <c r="A1935" s="35" t="n"/>
      <c r="B1935" s="35" t="n"/>
      <c r="C1935" s="35" t="n"/>
      <c r="D1935" s="35" t="n"/>
    </row>
    <row r="1936" ht="15" customHeight="1">
      <c r="A1936" s="35" t="n"/>
      <c r="B1936" s="35" t="n"/>
      <c r="C1936" s="35" t="n"/>
      <c r="D1936" s="35" t="n"/>
    </row>
    <row r="1937" ht="15" customHeight="1">
      <c r="A1937" s="35" t="n"/>
      <c r="B1937" s="35" t="n"/>
      <c r="C1937" s="35" t="n"/>
      <c r="D1937" s="35" t="n"/>
    </row>
    <row r="1938" ht="15" customHeight="1">
      <c r="A1938" s="35" t="n"/>
      <c r="B1938" s="35" t="n"/>
      <c r="C1938" s="35" t="n"/>
      <c r="D1938" s="35" t="n"/>
    </row>
    <row r="1939" ht="15" customHeight="1">
      <c r="A1939" s="35" t="n"/>
      <c r="B1939" s="35" t="n"/>
      <c r="C1939" s="35" t="n"/>
      <c r="D1939" s="35" t="n"/>
    </row>
    <row r="1940" ht="15" customHeight="1">
      <c r="A1940" s="35" t="n"/>
      <c r="B1940" s="35" t="n"/>
      <c r="C1940" s="35" t="n"/>
      <c r="D1940" s="35" t="n"/>
    </row>
    <row r="1941" ht="15" customHeight="1">
      <c r="A1941" s="35" t="n"/>
      <c r="B1941" s="35" t="n"/>
      <c r="C1941" s="35" t="n"/>
      <c r="D1941" s="35" t="n"/>
    </row>
    <row r="1942" ht="15" customHeight="1">
      <c r="A1942" s="35" t="n"/>
      <c r="B1942" s="35" t="n"/>
      <c r="C1942" s="35" t="n"/>
      <c r="D1942" s="35" t="n"/>
    </row>
    <row r="1943" ht="15" customHeight="1">
      <c r="A1943" s="35" t="n"/>
      <c r="B1943" s="35" t="n"/>
      <c r="C1943" s="35" t="n"/>
      <c r="D1943" s="35" t="n"/>
    </row>
    <row r="1944" ht="15" customHeight="1">
      <c r="A1944" s="35" t="n"/>
      <c r="B1944" s="35" t="n"/>
      <c r="C1944" s="35" t="n"/>
      <c r="D1944" s="35" t="n"/>
    </row>
    <row r="1945" ht="15" customHeight="1">
      <c r="A1945" s="35" t="n"/>
      <c r="B1945" s="35" t="n"/>
      <c r="C1945" s="35" t="n"/>
      <c r="D1945" s="35" t="n"/>
    </row>
    <row r="1946" ht="15" customHeight="1">
      <c r="A1946" s="35" t="n"/>
      <c r="B1946" s="35" t="n"/>
      <c r="C1946" s="35" t="n"/>
      <c r="D1946" s="35" t="n"/>
    </row>
    <row r="1947" ht="15" customHeight="1">
      <c r="A1947" s="35" t="n"/>
      <c r="B1947" s="35" t="n"/>
      <c r="C1947" s="35" t="n"/>
      <c r="D1947" s="35" t="n"/>
    </row>
    <row r="1948" ht="15" customHeight="1">
      <c r="A1948" s="35" t="n"/>
      <c r="B1948" s="35" t="n"/>
      <c r="C1948" s="35" t="n"/>
      <c r="D1948" s="35" t="n"/>
    </row>
    <row r="1949" ht="15" customHeight="1">
      <c r="A1949" s="35" t="n"/>
      <c r="B1949" s="35" t="n"/>
      <c r="C1949" s="35" t="n"/>
      <c r="D1949" s="35" t="n"/>
    </row>
    <row r="1950" ht="15" customHeight="1">
      <c r="A1950" s="35" t="n"/>
      <c r="B1950" s="35" t="n"/>
      <c r="C1950" s="35" t="n"/>
      <c r="D1950" s="35" t="n"/>
    </row>
    <row r="1951" ht="15" customHeight="1">
      <c r="A1951" s="35" t="n"/>
      <c r="B1951" s="35" t="n"/>
      <c r="C1951" s="35" t="n"/>
      <c r="D1951" s="35" t="n"/>
    </row>
    <row r="1952" ht="15" customHeight="1">
      <c r="A1952" s="35" t="n"/>
      <c r="B1952" s="35" t="n"/>
      <c r="C1952" s="35" t="n"/>
      <c r="D1952" s="35" t="n"/>
    </row>
    <row r="1953" ht="15" customHeight="1">
      <c r="A1953" s="35" t="n"/>
      <c r="B1953" s="35" t="n"/>
      <c r="C1953" s="35" t="n"/>
      <c r="D1953" s="35" t="n"/>
    </row>
    <row r="1954" ht="15" customHeight="1">
      <c r="A1954" s="35" t="n"/>
      <c r="B1954" s="35" t="n"/>
      <c r="C1954" s="35" t="n"/>
      <c r="D1954" s="35" t="n"/>
    </row>
    <row r="1955" ht="15" customHeight="1">
      <c r="A1955" s="35" t="n"/>
      <c r="B1955" s="35" t="n"/>
      <c r="C1955" s="35" t="n"/>
      <c r="D1955" s="35" t="n"/>
    </row>
    <row r="1956" ht="15" customHeight="1">
      <c r="A1956" s="35" t="n"/>
      <c r="B1956" s="35" t="n"/>
      <c r="C1956" s="35" t="n"/>
      <c r="D1956" s="35" t="n"/>
    </row>
    <row r="1957" ht="15" customHeight="1">
      <c r="A1957" s="35" t="n"/>
      <c r="B1957" s="35" t="n"/>
      <c r="C1957" s="35" t="n"/>
      <c r="D1957" s="35" t="n"/>
    </row>
    <row r="1958" ht="15" customHeight="1">
      <c r="A1958" s="35" t="n"/>
      <c r="B1958" s="35" t="n"/>
      <c r="C1958" s="35" t="n"/>
      <c r="D1958" s="35" t="n"/>
    </row>
    <row r="1959" ht="15" customHeight="1">
      <c r="A1959" s="35" t="n"/>
      <c r="B1959" s="35" t="n"/>
      <c r="C1959" s="35" t="n"/>
      <c r="D1959" s="35" t="n"/>
    </row>
    <row r="1960" ht="15" customHeight="1">
      <c r="A1960" s="35" t="n"/>
      <c r="B1960" s="35" t="n"/>
      <c r="C1960" s="35" t="n"/>
      <c r="D1960" s="35" t="n"/>
    </row>
    <row r="1961" ht="15" customHeight="1">
      <c r="A1961" s="35" t="n"/>
      <c r="B1961" s="35" t="n"/>
      <c r="C1961" s="35" t="n"/>
      <c r="D1961" s="35" t="n"/>
    </row>
    <row r="1962" ht="15" customHeight="1">
      <c r="A1962" s="35" t="n"/>
      <c r="B1962" s="35" t="n"/>
      <c r="C1962" s="35" t="n"/>
      <c r="D1962" s="35" t="n"/>
    </row>
    <row r="1963" ht="15" customHeight="1">
      <c r="A1963" s="35" t="n"/>
      <c r="B1963" s="35" t="n"/>
      <c r="C1963" s="35" t="n"/>
      <c r="D1963" s="35" t="n"/>
    </row>
    <row r="1964" ht="15" customHeight="1">
      <c r="A1964" s="35" t="n"/>
      <c r="B1964" s="35" t="n"/>
      <c r="C1964" s="35" t="n"/>
      <c r="D1964" s="35" t="n"/>
    </row>
    <row r="1965" ht="15" customHeight="1">
      <c r="A1965" s="35" t="n"/>
      <c r="B1965" s="35" t="n"/>
      <c r="C1965" s="35" t="n"/>
      <c r="D1965" s="35" t="n"/>
    </row>
    <row r="1966" ht="15" customHeight="1">
      <c r="A1966" s="35" t="n"/>
      <c r="B1966" s="35" t="n"/>
      <c r="C1966" s="35" t="n"/>
      <c r="D1966" s="35" t="n"/>
    </row>
    <row r="1967" ht="15" customHeight="1">
      <c r="A1967" s="35" t="n"/>
      <c r="B1967" s="35" t="n"/>
      <c r="C1967" s="35" t="n"/>
      <c r="D1967" s="35" t="n"/>
    </row>
    <row r="1968" ht="15" customHeight="1">
      <c r="A1968" s="35" t="n"/>
      <c r="B1968" s="35" t="n"/>
      <c r="C1968" s="35" t="n"/>
      <c r="D1968" s="35" t="n"/>
    </row>
    <row r="1969" ht="15" customHeight="1">
      <c r="A1969" s="35" t="n"/>
      <c r="B1969" s="35" t="n"/>
      <c r="C1969" s="35" t="n"/>
      <c r="D1969" s="35" t="n"/>
    </row>
    <row r="1970" ht="15" customHeight="1">
      <c r="A1970" s="35" t="n"/>
      <c r="B1970" s="35" t="n"/>
      <c r="C1970" s="35" t="n"/>
      <c r="D1970" s="35" t="n"/>
    </row>
    <row r="1971" ht="15" customHeight="1">
      <c r="A1971" s="35" t="n"/>
      <c r="B1971" s="35" t="n"/>
      <c r="C1971" s="35" t="n"/>
      <c r="D1971" s="35" t="n"/>
    </row>
    <row r="1972" ht="15" customHeight="1">
      <c r="A1972" s="35" t="n"/>
      <c r="B1972" s="35" t="n"/>
      <c r="C1972" s="35" t="n"/>
      <c r="D1972" s="35" t="n"/>
    </row>
    <row r="1973" ht="15" customHeight="1">
      <c r="A1973" s="35" t="n"/>
      <c r="B1973" s="35" t="n"/>
      <c r="C1973" s="35" t="n"/>
      <c r="D1973" s="35" t="n"/>
    </row>
    <row r="1974" ht="15" customHeight="1">
      <c r="A1974" s="35" t="n"/>
      <c r="B1974" s="35" t="n"/>
      <c r="C1974" s="35" t="n"/>
      <c r="D1974" s="35" t="n"/>
    </row>
    <row r="1975" ht="15" customHeight="1">
      <c r="A1975" s="35" t="n"/>
      <c r="B1975" s="35" t="n"/>
      <c r="C1975" s="35" t="n"/>
      <c r="D1975" s="35" t="n"/>
    </row>
    <row r="1976" ht="15" customHeight="1">
      <c r="A1976" s="35" t="n"/>
      <c r="B1976" s="35" t="n"/>
      <c r="C1976" s="35" t="n"/>
      <c r="D1976" s="35" t="n"/>
    </row>
    <row r="1977" ht="15" customHeight="1">
      <c r="A1977" s="35" t="n"/>
      <c r="B1977" s="35" t="n"/>
      <c r="C1977" s="35" t="n"/>
      <c r="D1977" s="35" t="n"/>
    </row>
    <row r="1978" ht="15" customHeight="1">
      <c r="A1978" s="35" t="n"/>
      <c r="B1978" s="35" t="n"/>
      <c r="C1978" s="35" t="n"/>
      <c r="D1978" s="35" t="n"/>
    </row>
    <row r="1979" ht="15" customHeight="1">
      <c r="A1979" s="35" t="n"/>
      <c r="B1979" s="35" t="n"/>
      <c r="C1979" s="35" t="n"/>
      <c r="D1979" s="35" t="n"/>
    </row>
    <row r="1980" ht="15" customHeight="1">
      <c r="A1980" s="35" t="n"/>
      <c r="B1980" s="35" t="n"/>
      <c r="C1980" s="35" t="n"/>
      <c r="D1980" s="35" t="n"/>
    </row>
    <row r="1981" ht="15" customHeight="1">
      <c r="A1981" s="35" t="n"/>
      <c r="B1981" s="35" t="n"/>
      <c r="C1981" s="35" t="n"/>
      <c r="D1981" s="35" t="n"/>
    </row>
    <row r="1982" ht="15" customHeight="1">
      <c r="A1982" s="35" t="n"/>
      <c r="B1982" s="35" t="n"/>
      <c r="C1982" s="35" t="n"/>
      <c r="D1982" s="35" t="n"/>
    </row>
    <row r="1983" ht="15" customHeight="1">
      <c r="A1983" s="35" t="n"/>
      <c r="B1983" s="35" t="n"/>
      <c r="C1983" s="35" t="n"/>
      <c r="D1983" s="35" t="n"/>
    </row>
    <row r="1984" ht="15" customHeight="1">
      <c r="A1984" s="35" t="n"/>
      <c r="B1984" s="35" t="n"/>
      <c r="C1984" s="35" t="n"/>
      <c r="D1984" s="35" t="n"/>
    </row>
    <row r="1985" ht="15" customHeight="1">
      <c r="A1985" s="35" t="n"/>
      <c r="B1985" s="35" t="n"/>
      <c r="C1985" s="35" t="n"/>
      <c r="D1985" s="35" t="n"/>
    </row>
    <row r="1986" ht="15" customHeight="1">
      <c r="A1986" s="35" t="n"/>
      <c r="B1986" s="35" t="n"/>
      <c r="C1986" s="35" t="n"/>
      <c r="D1986" s="35" t="n"/>
    </row>
    <row r="1987" ht="15" customHeight="1">
      <c r="A1987" s="35" t="n"/>
      <c r="B1987" s="35" t="n"/>
      <c r="C1987" s="35" t="n"/>
      <c r="D1987" s="35" t="n"/>
    </row>
    <row r="1988" ht="15" customHeight="1">
      <c r="A1988" s="35" t="n"/>
      <c r="B1988" s="35" t="n"/>
      <c r="C1988" s="35" t="n"/>
      <c r="D1988" s="35" t="n"/>
    </row>
    <row r="1989" ht="15" customHeight="1">
      <c r="A1989" s="35" t="n"/>
      <c r="B1989" s="35" t="n"/>
      <c r="C1989" s="35" t="n"/>
      <c r="D1989" s="35" t="n"/>
    </row>
    <row r="1990" ht="15" customHeight="1">
      <c r="A1990" s="35" t="n"/>
      <c r="B1990" s="35" t="n"/>
      <c r="C1990" s="35" t="n"/>
      <c r="D1990" s="35" t="n"/>
    </row>
    <row r="1991" ht="15" customHeight="1">
      <c r="A1991" s="35" t="n"/>
      <c r="B1991" s="35" t="n"/>
      <c r="C1991" s="35" t="n"/>
      <c r="D1991" s="35" t="n"/>
    </row>
    <row r="1992" ht="15" customHeight="1">
      <c r="A1992" s="35" t="n"/>
      <c r="B1992" s="35" t="n"/>
      <c r="C1992" s="35" t="n"/>
      <c r="D1992" s="35" t="n"/>
    </row>
    <row r="1993" ht="15" customHeight="1">
      <c r="A1993" s="35" t="n"/>
      <c r="B1993" s="35" t="n"/>
      <c r="C1993" s="35" t="n"/>
      <c r="D1993" s="35" t="n"/>
    </row>
    <row r="1994" ht="15" customHeight="1">
      <c r="A1994" s="35" t="n"/>
      <c r="B1994" s="35" t="n"/>
      <c r="C1994" s="35" t="n"/>
      <c r="D1994" s="35" t="n"/>
    </row>
    <row r="1995" ht="15" customHeight="1">
      <c r="A1995" s="35" t="n"/>
      <c r="B1995" s="35" t="n"/>
      <c r="C1995" s="35" t="n"/>
      <c r="D1995" s="35" t="n"/>
    </row>
    <row r="1996" ht="15" customHeight="1">
      <c r="A1996" s="35" t="n"/>
      <c r="B1996" s="35" t="n"/>
      <c r="C1996" s="35" t="n"/>
      <c r="D1996" s="35" t="n"/>
    </row>
    <row r="1997" ht="15" customHeight="1">
      <c r="A1997" s="35" t="n"/>
      <c r="B1997" s="35" t="n"/>
      <c r="C1997" s="35" t="n"/>
      <c r="D1997" s="35" t="n"/>
    </row>
    <row r="1998" ht="15" customHeight="1">
      <c r="A1998" s="35" t="n"/>
      <c r="B1998" s="35" t="n"/>
      <c r="C1998" s="35" t="n"/>
      <c r="D1998" s="35" t="n"/>
    </row>
    <row r="1999" ht="15" customHeight="1">
      <c r="A1999" s="35" t="n"/>
      <c r="B1999" s="35" t="n"/>
      <c r="C1999" s="35" t="n"/>
      <c r="D1999" s="35" t="n"/>
    </row>
    <row r="2000" ht="15" customHeight="1">
      <c r="A2000" s="35" t="n"/>
      <c r="B2000" s="35" t="n"/>
      <c r="C2000" s="35" t="n"/>
      <c r="D2000" s="35" t="n"/>
    </row>
    <row r="2001" ht="15" customHeight="1">
      <c r="A2001" s="35" t="n"/>
      <c r="B2001" s="35" t="n"/>
      <c r="C2001" s="35" t="n"/>
      <c r="D2001" s="35" t="n"/>
    </row>
    <row r="2002" ht="15" customHeight="1">
      <c r="A2002" s="35" t="n"/>
      <c r="B2002" s="35" t="n"/>
      <c r="C2002" s="35" t="n"/>
      <c r="D2002" s="35" t="n"/>
    </row>
    <row r="2003" ht="15" customHeight="1">
      <c r="A2003" s="35" t="n"/>
      <c r="B2003" s="35" t="n"/>
      <c r="C2003" s="35" t="n"/>
      <c r="D2003" s="35" t="n"/>
    </row>
    <row r="2004" ht="15" customHeight="1">
      <c r="A2004" s="35" t="n"/>
      <c r="B2004" s="35" t="n"/>
      <c r="C2004" s="35" t="n"/>
      <c r="D2004" s="35" t="n"/>
    </row>
    <row r="2005" ht="15" customHeight="1">
      <c r="A2005" s="35" t="n"/>
      <c r="B2005" s="35" t="n"/>
      <c r="C2005" s="35" t="n"/>
      <c r="D2005" s="35" t="n"/>
    </row>
    <row r="2006" ht="15" customHeight="1">
      <c r="A2006" s="35" t="n"/>
      <c r="B2006" s="35" t="n"/>
      <c r="C2006" s="35" t="n"/>
      <c r="D2006" s="35" t="n"/>
    </row>
    <row r="2007" ht="15" customHeight="1">
      <c r="A2007" s="35" t="n"/>
      <c r="B2007" s="35" t="n"/>
      <c r="C2007" s="35" t="n"/>
      <c r="D2007" s="35" t="n"/>
    </row>
    <row r="2008" ht="15" customHeight="1">
      <c r="A2008" s="35" t="n"/>
      <c r="B2008" s="35" t="n"/>
      <c r="C2008" s="35" t="n"/>
      <c r="D2008" s="35" t="n"/>
    </row>
    <row r="2009" ht="15" customHeight="1">
      <c r="A2009" s="35" t="n"/>
      <c r="B2009" s="35" t="n"/>
      <c r="C2009" s="35" t="n"/>
      <c r="D2009" s="35" t="n"/>
    </row>
    <row r="2010" ht="15" customHeight="1">
      <c r="A2010" s="35" t="n"/>
      <c r="B2010" s="35" t="n"/>
      <c r="C2010" s="35" t="n"/>
      <c r="D2010" s="35" t="n"/>
    </row>
    <row r="2011" ht="15" customHeight="1">
      <c r="A2011" s="35" t="n"/>
      <c r="B2011" s="35" t="n"/>
      <c r="C2011" s="35" t="n"/>
      <c r="D2011" s="35" t="n"/>
    </row>
    <row r="2012" ht="15" customHeight="1">
      <c r="A2012" s="35" t="n"/>
      <c r="B2012" s="35" t="n"/>
      <c r="C2012" s="35" t="n"/>
      <c r="D2012" s="35" t="n"/>
    </row>
    <row r="2013" ht="15" customHeight="1">
      <c r="A2013" s="35" t="n"/>
      <c r="B2013" s="35" t="n"/>
      <c r="C2013" s="35" t="n"/>
      <c r="D2013" s="35" t="n"/>
    </row>
    <row r="2014" ht="15" customHeight="1">
      <c r="A2014" s="35" t="n"/>
      <c r="B2014" s="35" t="n"/>
      <c r="C2014" s="35" t="n"/>
      <c r="D2014" s="35" t="n"/>
    </row>
    <row r="2015" ht="15" customHeight="1">
      <c r="A2015" s="35" t="n"/>
      <c r="B2015" s="35" t="n"/>
      <c r="C2015" s="35" t="n"/>
      <c r="D2015" s="35" t="n"/>
    </row>
    <row r="2016" ht="15" customHeight="1">
      <c r="A2016" s="35" t="n"/>
      <c r="B2016" s="35" t="n"/>
      <c r="C2016" s="35" t="n"/>
      <c r="D2016" s="35" t="n"/>
    </row>
    <row r="2017" ht="15" customHeight="1">
      <c r="A2017" s="35" t="n"/>
      <c r="B2017" s="35" t="n"/>
      <c r="C2017" s="35" t="n"/>
      <c r="D2017" s="35" t="n"/>
    </row>
    <row r="2018" ht="15" customHeight="1">
      <c r="A2018" s="35" t="n"/>
      <c r="B2018" s="35" t="n"/>
      <c r="C2018" s="35" t="n"/>
      <c r="D2018" s="35" t="n"/>
    </row>
    <row r="2019" ht="15" customHeight="1">
      <c r="A2019" s="35" t="n"/>
      <c r="B2019" s="35" t="n"/>
      <c r="C2019" s="35" t="n"/>
      <c r="D2019" s="35" t="n"/>
    </row>
    <row r="2020" ht="15" customHeight="1">
      <c r="A2020" s="35" t="n"/>
      <c r="B2020" s="35" t="n"/>
      <c r="C2020" s="35" t="n"/>
      <c r="D2020" s="35" t="n"/>
    </row>
    <row r="2021" ht="15" customHeight="1">
      <c r="A2021" s="35" t="n"/>
      <c r="B2021" s="35" t="n"/>
      <c r="C2021" s="35" t="n"/>
      <c r="D2021" s="35" t="n"/>
    </row>
    <row r="2022" ht="15" customHeight="1">
      <c r="A2022" s="35" t="n"/>
      <c r="B2022" s="35" t="n"/>
      <c r="C2022" s="35" t="n"/>
      <c r="D2022" s="35" t="n"/>
    </row>
    <row r="2023" ht="15" customHeight="1">
      <c r="A2023" s="35" t="n"/>
      <c r="B2023" s="35" t="n"/>
      <c r="C2023" s="35" t="n"/>
      <c r="D2023" s="35" t="n"/>
    </row>
    <row r="2024" ht="15" customHeight="1">
      <c r="A2024" s="35" t="n"/>
      <c r="B2024" s="35" t="n"/>
      <c r="C2024" s="35" t="n"/>
      <c r="D2024" s="35" t="n"/>
    </row>
    <row r="2025" ht="15" customHeight="1">
      <c r="A2025" s="35" t="n"/>
      <c r="B2025" s="35" t="n"/>
      <c r="C2025" s="35" t="n"/>
      <c r="D2025" s="35" t="n"/>
    </row>
    <row r="2026" ht="15" customHeight="1">
      <c r="A2026" s="35" t="n"/>
      <c r="B2026" s="35" t="n"/>
      <c r="C2026" s="35" t="n"/>
      <c r="D2026" s="35" t="n"/>
    </row>
    <row r="2027" ht="15" customHeight="1">
      <c r="A2027" s="35" t="n"/>
      <c r="B2027" s="35" t="n"/>
      <c r="C2027" s="35" t="n"/>
      <c r="D2027" s="35" t="n"/>
    </row>
    <row r="2028" ht="15" customHeight="1">
      <c r="A2028" s="35" t="n"/>
      <c r="B2028" s="35" t="n"/>
      <c r="C2028" s="35" t="n"/>
      <c r="D2028" s="35" t="n"/>
    </row>
    <row r="2029" ht="15" customHeight="1">
      <c r="A2029" s="35" t="n"/>
      <c r="B2029" s="35" t="n"/>
      <c r="C2029" s="35" t="n"/>
      <c r="D2029" s="35" t="n"/>
    </row>
    <row r="2030" ht="15" customHeight="1">
      <c r="A2030" s="35" t="n"/>
      <c r="B2030" s="35" t="n"/>
      <c r="C2030" s="35" t="n"/>
      <c r="D2030" s="35" t="n"/>
    </row>
    <row r="2031" ht="15" customHeight="1">
      <c r="A2031" s="35" t="n"/>
      <c r="B2031" s="35" t="n"/>
      <c r="C2031" s="35" t="n"/>
      <c r="D2031" s="35" t="n"/>
    </row>
    <row r="2032" ht="15" customHeight="1">
      <c r="A2032" s="35" t="n"/>
      <c r="B2032" s="35" t="n"/>
      <c r="C2032" s="35" t="n"/>
      <c r="D2032" s="35" t="n"/>
    </row>
    <row r="2033" ht="15" customHeight="1">
      <c r="A2033" s="35" t="n"/>
      <c r="B2033" s="35" t="n"/>
      <c r="C2033" s="35" t="n"/>
      <c r="D2033" s="35" t="n"/>
    </row>
    <row r="2034" ht="15" customHeight="1">
      <c r="A2034" s="35" t="n"/>
      <c r="B2034" s="35" t="n"/>
      <c r="C2034" s="35" t="n"/>
      <c r="D2034" s="35" t="n"/>
    </row>
    <row r="2035" ht="15" customHeight="1">
      <c r="A2035" s="35" t="n"/>
      <c r="B2035" s="35" t="n"/>
      <c r="C2035" s="35" t="n"/>
      <c r="D2035" s="35" t="n"/>
    </row>
    <row r="2036" ht="15" customHeight="1">
      <c r="A2036" s="35" t="n"/>
      <c r="B2036" s="35" t="n"/>
      <c r="C2036" s="35" t="n"/>
      <c r="D2036" s="35" t="n"/>
    </row>
    <row r="2037" ht="15" customHeight="1">
      <c r="A2037" s="35" t="n"/>
      <c r="B2037" s="35" t="n"/>
      <c r="C2037" s="35" t="n"/>
      <c r="D2037" s="35" t="n"/>
    </row>
    <row r="2038" ht="15" customHeight="1">
      <c r="A2038" s="35" t="n"/>
      <c r="B2038" s="35" t="n"/>
      <c r="C2038" s="35" t="n"/>
      <c r="D2038" s="35" t="n"/>
    </row>
    <row r="2039" ht="15" customHeight="1">
      <c r="A2039" s="35" t="n"/>
      <c r="B2039" s="35" t="n"/>
      <c r="C2039" s="35" t="n"/>
      <c r="D2039" s="35" t="n"/>
    </row>
    <row r="2040" ht="15" customHeight="1">
      <c r="A2040" s="35" t="n"/>
      <c r="B2040" s="35" t="n"/>
      <c r="C2040" s="35" t="n"/>
      <c r="D2040" s="35" t="n"/>
    </row>
    <row r="2041" ht="15" customHeight="1">
      <c r="A2041" s="35" t="n"/>
      <c r="B2041" s="35" t="n"/>
      <c r="C2041" s="35" t="n"/>
      <c r="D2041" s="35" t="n"/>
    </row>
    <row r="2042" ht="15" customHeight="1">
      <c r="A2042" s="35" t="n"/>
      <c r="B2042" s="35" t="n"/>
      <c r="C2042" s="35" t="n"/>
      <c r="D2042" s="35" t="n"/>
    </row>
    <row r="2043" ht="15" customHeight="1">
      <c r="A2043" s="35" t="n"/>
      <c r="B2043" s="35" t="n"/>
      <c r="C2043" s="35" t="n"/>
      <c r="D2043" s="35" t="n"/>
    </row>
    <row r="2044" ht="15" customHeight="1">
      <c r="A2044" s="35" t="n"/>
      <c r="B2044" s="35" t="n"/>
      <c r="C2044" s="35" t="n"/>
      <c r="D2044" s="35" t="n"/>
    </row>
    <row r="2045" ht="15" customHeight="1">
      <c r="A2045" s="35" t="n"/>
      <c r="B2045" s="35" t="n"/>
      <c r="C2045" s="35" t="n"/>
      <c r="D2045" s="35" t="n"/>
    </row>
    <row r="2046" ht="15" customHeight="1">
      <c r="A2046" s="35" t="n"/>
      <c r="B2046" s="35" t="n"/>
      <c r="C2046" s="35" t="n"/>
      <c r="D2046" s="35" t="n"/>
    </row>
    <row r="2047" ht="15" customHeight="1">
      <c r="A2047" s="35" t="n"/>
      <c r="B2047" s="35" t="n"/>
      <c r="C2047" s="35" t="n"/>
      <c r="D2047" s="35" t="n"/>
    </row>
    <row r="2048" ht="15" customHeight="1">
      <c r="A2048" s="35" t="n"/>
      <c r="B2048" s="35" t="n"/>
      <c r="C2048" s="35" t="n"/>
      <c r="D2048" s="35" t="n"/>
    </row>
    <row r="2049" ht="15" customHeight="1">
      <c r="A2049" s="35" t="n"/>
      <c r="B2049" s="35" t="n"/>
      <c r="C2049" s="35" t="n"/>
      <c r="D2049" s="35" t="n"/>
    </row>
    <row r="2050" ht="15" customHeight="1">
      <c r="A2050" s="35" t="n"/>
      <c r="B2050" s="35" t="n"/>
      <c r="C2050" s="35" t="n"/>
      <c r="D2050" s="35" t="n"/>
    </row>
    <row r="2051" ht="15" customHeight="1">
      <c r="A2051" s="35" t="n"/>
      <c r="B2051" s="35" t="n"/>
      <c r="C2051" s="35" t="n"/>
      <c r="D2051" s="35" t="n"/>
    </row>
    <row r="2052" ht="15" customHeight="1">
      <c r="A2052" s="35" t="n"/>
      <c r="B2052" s="35" t="n"/>
      <c r="C2052" s="35" t="n"/>
      <c r="D2052" s="35" t="n"/>
    </row>
    <row r="2053" ht="15" customHeight="1">
      <c r="A2053" s="35" t="n"/>
      <c r="B2053" s="35" t="n"/>
      <c r="C2053" s="35" t="n"/>
      <c r="D2053" s="35" t="n"/>
    </row>
    <row r="2054" ht="15" customHeight="1">
      <c r="A2054" s="35" t="n"/>
      <c r="B2054" s="35" t="n"/>
      <c r="C2054" s="35" t="n"/>
      <c r="D2054" s="35" t="n"/>
    </row>
    <row r="2055" ht="15" customHeight="1">
      <c r="A2055" s="35" t="n"/>
      <c r="B2055" s="35" t="n"/>
      <c r="C2055" s="35" t="n"/>
      <c r="D2055" s="35" t="n"/>
    </row>
    <row r="2056" ht="15" customHeight="1">
      <c r="A2056" s="35" t="n"/>
      <c r="B2056" s="35" t="n"/>
      <c r="C2056" s="35" t="n"/>
      <c r="D2056" s="35" t="n"/>
    </row>
    <row r="2057" ht="15" customHeight="1">
      <c r="A2057" s="35" t="n"/>
      <c r="B2057" s="35" t="n"/>
      <c r="C2057" s="35" t="n"/>
      <c r="D2057" s="35" t="n"/>
    </row>
    <row r="2058" ht="15" customHeight="1">
      <c r="A2058" s="35" t="n"/>
      <c r="B2058" s="35" t="n"/>
      <c r="C2058" s="35" t="n"/>
      <c r="D2058" s="35" t="n"/>
    </row>
    <row r="2059" ht="15" customHeight="1">
      <c r="A2059" s="35" t="n"/>
      <c r="B2059" s="35" t="n"/>
      <c r="C2059" s="35" t="n"/>
      <c r="D2059" s="35" t="n"/>
    </row>
    <row r="2060" ht="15" customHeight="1">
      <c r="A2060" s="35" t="n"/>
      <c r="B2060" s="35" t="n"/>
      <c r="C2060" s="35" t="n"/>
      <c r="D2060" s="35" t="n"/>
    </row>
    <row r="2061" ht="15" customHeight="1">
      <c r="A2061" s="35" t="n"/>
      <c r="B2061" s="35" t="n"/>
      <c r="C2061" s="35" t="n"/>
      <c r="D2061" s="35" t="n"/>
    </row>
    <row r="2062" ht="15" customHeight="1">
      <c r="A2062" s="35" t="n"/>
      <c r="B2062" s="35" t="n"/>
      <c r="C2062" s="35" t="n"/>
      <c r="D2062" s="35" t="n"/>
    </row>
    <row r="2063" ht="15" customHeight="1">
      <c r="A2063" s="35" t="n"/>
      <c r="B2063" s="35" t="n"/>
      <c r="C2063" s="35" t="n"/>
      <c r="D2063" s="35" t="n"/>
    </row>
    <row r="2064" ht="15" customHeight="1">
      <c r="A2064" s="35" t="n"/>
      <c r="B2064" s="35" t="n"/>
      <c r="C2064" s="35" t="n"/>
      <c r="D2064" s="35" t="n"/>
    </row>
    <row r="2065" ht="15" customHeight="1">
      <c r="A2065" s="35" t="n"/>
      <c r="B2065" s="35" t="n"/>
      <c r="C2065" s="35" t="n"/>
      <c r="D2065" s="35" t="n"/>
    </row>
    <row r="2066" ht="15" customHeight="1">
      <c r="A2066" s="35" t="n"/>
      <c r="B2066" s="35" t="n"/>
      <c r="C2066" s="35" t="n"/>
      <c r="D2066" s="35" t="n"/>
    </row>
    <row r="2067" ht="15" customHeight="1">
      <c r="A2067" s="35" t="n"/>
      <c r="B2067" s="35" t="n"/>
      <c r="C2067" s="35" t="n"/>
      <c r="D2067" s="35" t="n"/>
    </row>
    <row r="2068" ht="15" customHeight="1">
      <c r="A2068" s="35" t="n"/>
      <c r="B2068" s="35" t="n"/>
      <c r="C2068" s="35" t="n"/>
      <c r="D2068" s="35" t="n"/>
    </row>
    <row r="2069" ht="15" customHeight="1">
      <c r="A2069" s="35" t="n"/>
      <c r="B2069" s="35" t="n"/>
      <c r="C2069" s="35" t="n"/>
      <c r="D2069" s="35" t="n"/>
    </row>
    <row r="2070" ht="15" customHeight="1">
      <c r="A2070" s="35" t="n"/>
      <c r="B2070" s="35" t="n"/>
      <c r="C2070" s="35" t="n"/>
      <c r="D2070" s="35" t="n"/>
    </row>
    <row r="2071" ht="15" customHeight="1">
      <c r="A2071" s="35" t="n"/>
      <c r="B2071" s="35" t="n"/>
      <c r="C2071" s="35" t="n"/>
      <c r="D2071" s="35" t="n"/>
    </row>
    <row r="2072" ht="15" customHeight="1">
      <c r="A2072" s="35" t="n"/>
      <c r="B2072" s="35" t="n"/>
      <c r="C2072" s="35" t="n"/>
      <c r="D2072" s="35" t="n"/>
    </row>
    <row r="2073" ht="15" customHeight="1">
      <c r="A2073" s="35" t="n"/>
      <c r="B2073" s="35" t="n"/>
      <c r="C2073" s="35" t="n"/>
      <c r="D2073" s="35" t="n"/>
    </row>
    <row r="2074" ht="15" customHeight="1">
      <c r="A2074" s="35" t="n"/>
      <c r="B2074" s="35" t="n"/>
      <c r="C2074" s="35" t="n"/>
      <c r="D2074" s="35" t="n"/>
    </row>
    <row r="2075" ht="15" customHeight="1">
      <c r="A2075" s="35" t="n"/>
      <c r="B2075" s="35" t="n"/>
      <c r="C2075" s="35" t="n"/>
      <c r="D2075" s="35" t="n"/>
    </row>
    <row r="2076" ht="15" customHeight="1">
      <c r="A2076" s="35" t="n"/>
      <c r="B2076" s="35" t="n"/>
      <c r="C2076" s="35" t="n"/>
      <c r="D2076" s="35" t="n"/>
    </row>
    <row r="2077" ht="15" customHeight="1">
      <c r="A2077" s="35" t="n"/>
      <c r="B2077" s="35" t="n"/>
      <c r="C2077" s="35" t="n"/>
      <c r="D2077" s="35" t="n"/>
    </row>
    <row r="2078" ht="15" customHeight="1">
      <c r="A2078" s="35" t="n"/>
      <c r="B2078" s="35" t="n"/>
      <c r="C2078" s="35" t="n"/>
      <c r="D2078" s="35" t="n"/>
    </row>
    <row r="2079" ht="15" customHeight="1">
      <c r="A2079" s="35" t="n"/>
      <c r="B2079" s="35" t="n"/>
      <c r="C2079" s="35" t="n"/>
      <c r="D2079" s="35" t="n"/>
    </row>
    <row r="2080" ht="15" customHeight="1">
      <c r="A2080" s="35" t="n"/>
      <c r="B2080" s="35" t="n"/>
      <c r="C2080" s="35" t="n"/>
      <c r="D2080" s="35" t="n"/>
    </row>
    <row r="2081" ht="15" customHeight="1">
      <c r="A2081" s="35" t="n"/>
      <c r="B2081" s="35" t="n"/>
      <c r="C2081" s="35" t="n"/>
      <c r="D2081" s="35" t="n"/>
    </row>
    <row r="2082" ht="15" customHeight="1">
      <c r="A2082" s="35" t="n"/>
      <c r="B2082" s="35" t="n"/>
      <c r="C2082" s="35" t="n"/>
      <c r="D2082" s="35" t="n"/>
    </row>
    <row r="2083" ht="15" customHeight="1">
      <c r="A2083" s="35" t="n"/>
      <c r="B2083" s="35" t="n"/>
      <c r="C2083" s="35" t="n"/>
      <c r="D2083" s="35" t="n"/>
    </row>
    <row r="2084" ht="15" customHeight="1">
      <c r="A2084" s="35" t="n"/>
      <c r="B2084" s="35" t="n"/>
      <c r="C2084" s="35" t="n"/>
      <c r="D2084" s="35" t="n"/>
    </row>
    <row r="2085" ht="15" customHeight="1">
      <c r="A2085" s="35" t="n"/>
      <c r="B2085" s="35" t="n"/>
      <c r="C2085" s="35" t="n"/>
      <c r="D2085" s="35" t="n"/>
    </row>
    <row r="2086" ht="15" customHeight="1">
      <c r="A2086" s="35" t="n"/>
      <c r="B2086" s="35" t="n"/>
      <c r="C2086" s="35" t="n"/>
      <c r="D2086" s="35" t="n"/>
    </row>
    <row r="2087" ht="15" customHeight="1">
      <c r="A2087" s="35" t="n"/>
      <c r="B2087" s="35" t="n"/>
      <c r="C2087" s="35" t="n"/>
      <c r="D2087" s="35" t="n"/>
    </row>
    <row r="2088" ht="15" customHeight="1">
      <c r="A2088" s="35" t="n"/>
      <c r="B2088" s="35" t="n"/>
      <c r="C2088" s="35" t="n"/>
      <c r="D2088" s="35" t="n"/>
    </row>
    <row r="2089" ht="15" customHeight="1">
      <c r="A2089" s="35" t="n"/>
      <c r="B2089" s="35" t="n"/>
      <c r="C2089" s="35" t="n"/>
      <c r="D2089" s="35" t="n"/>
    </row>
    <row r="2090" ht="15" customHeight="1">
      <c r="A2090" s="35" t="n"/>
      <c r="B2090" s="35" t="n"/>
      <c r="C2090" s="35" t="n"/>
      <c r="D2090" s="35" t="n"/>
    </row>
    <row r="2091" ht="15" customHeight="1">
      <c r="A2091" s="35" t="n"/>
      <c r="B2091" s="35" t="n"/>
      <c r="C2091" s="35" t="n"/>
      <c r="D2091" s="35" t="n"/>
    </row>
    <row r="2092" ht="15" customHeight="1">
      <c r="A2092" s="35" t="n"/>
      <c r="B2092" s="35" t="n"/>
      <c r="C2092" s="35" t="n"/>
      <c r="D2092" s="35" t="n"/>
    </row>
    <row r="2093" ht="15" customHeight="1">
      <c r="A2093" s="35" t="n"/>
      <c r="B2093" s="35" t="n"/>
      <c r="C2093" s="35" t="n"/>
      <c r="D2093" s="35" t="n"/>
    </row>
    <row r="2094" ht="15" customHeight="1">
      <c r="A2094" s="35" t="n"/>
      <c r="B2094" s="35" t="n"/>
      <c r="C2094" s="35" t="n"/>
      <c r="D2094" s="35" t="n"/>
    </row>
    <row r="2095" ht="15" customHeight="1">
      <c r="A2095" s="35" t="n"/>
      <c r="B2095" s="35" t="n"/>
      <c r="C2095" s="35" t="n"/>
      <c r="D2095" s="35" t="n"/>
    </row>
    <row r="2096" ht="15" customHeight="1">
      <c r="A2096" s="35" t="n"/>
      <c r="B2096" s="35" t="n"/>
      <c r="C2096" s="35" t="n"/>
      <c r="D2096" s="35" t="n"/>
    </row>
    <row r="2097" ht="15" customHeight="1">
      <c r="A2097" s="35" t="n"/>
      <c r="B2097" s="35" t="n"/>
      <c r="C2097" s="35" t="n"/>
      <c r="D2097" s="35" t="n"/>
    </row>
    <row r="2098" ht="15" customHeight="1">
      <c r="A2098" s="35" t="n"/>
      <c r="B2098" s="35" t="n"/>
      <c r="C2098" s="35" t="n"/>
      <c r="D2098" s="35" t="n"/>
    </row>
    <row r="2099" ht="15" customHeight="1">
      <c r="A2099" s="35" t="n"/>
      <c r="B2099" s="35" t="n"/>
      <c r="C2099" s="35" t="n"/>
      <c r="D2099" s="35" t="n"/>
    </row>
    <row r="2100" ht="15" customHeight="1">
      <c r="A2100" s="35" t="n"/>
      <c r="B2100" s="35" t="n"/>
      <c r="C2100" s="35" t="n"/>
      <c r="D2100" s="35" t="n"/>
    </row>
    <row r="2101" ht="15" customHeight="1">
      <c r="A2101" s="35" t="n"/>
      <c r="B2101" s="35" t="n"/>
      <c r="C2101" s="35" t="n"/>
      <c r="D2101" s="35" t="n"/>
    </row>
    <row r="2102" ht="15" customHeight="1">
      <c r="A2102" s="35" t="n"/>
      <c r="B2102" s="35" t="n"/>
      <c r="C2102" s="35" t="n"/>
      <c r="D2102" s="35" t="n"/>
    </row>
    <row r="2103" ht="15" customHeight="1">
      <c r="A2103" s="35" t="n"/>
      <c r="B2103" s="35" t="n"/>
      <c r="C2103" s="35" t="n"/>
      <c r="D2103" s="35" t="n"/>
    </row>
    <row r="2104" ht="15" customHeight="1">
      <c r="A2104" s="35" t="n"/>
      <c r="B2104" s="35" t="n"/>
      <c r="C2104" s="35" t="n"/>
      <c r="D2104" s="35" t="n"/>
    </row>
    <row r="2105" ht="15" customHeight="1">
      <c r="A2105" s="35" t="n"/>
      <c r="B2105" s="35" t="n"/>
      <c r="C2105" s="35" t="n"/>
      <c r="D2105" s="35" t="n"/>
    </row>
    <row r="2106" ht="15" customHeight="1">
      <c r="A2106" s="35" t="n"/>
      <c r="B2106" s="35" t="n"/>
      <c r="C2106" s="35" t="n"/>
      <c r="D2106" s="35" t="n"/>
    </row>
    <row r="2107" ht="15" customHeight="1">
      <c r="A2107" s="35" t="n"/>
      <c r="B2107" s="35" t="n"/>
      <c r="C2107" s="35" t="n"/>
      <c r="D2107" s="35" t="n"/>
    </row>
    <row r="2108" ht="15" customHeight="1">
      <c r="A2108" s="35" t="n"/>
      <c r="B2108" s="35" t="n"/>
      <c r="C2108" s="35" t="n"/>
      <c r="D2108" s="35" t="n"/>
    </row>
    <row r="2109" ht="15" customHeight="1">
      <c r="A2109" s="35" t="n"/>
      <c r="B2109" s="35" t="n"/>
      <c r="C2109" s="35" t="n"/>
      <c r="D2109" s="35" t="n"/>
    </row>
    <row r="2110" ht="15" customHeight="1">
      <c r="A2110" s="35" t="n"/>
      <c r="B2110" s="35" t="n"/>
      <c r="C2110" s="35" t="n"/>
      <c r="D2110" s="35" t="n"/>
    </row>
    <row r="2111" ht="15" customHeight="1">
      <c r="A2111" s="35" t="n"/>
      <c r="B2111" s="35" t="n"/>
      <c r="C2111" s="35" t="n"/>
      <c r="D2111" s="35" t="n"/>
    </row>
    <row r="2112" ht="15" customHeight="1">
      <c r="A2112" s="35" t="n"/>
      <c r="B2112" s="35" t="n"/>
      <c r="C2112" s="35" t="n"/>
      <c r="D2112" s="35" t="n"/>
    </row>
    <row r="2113" ht="15" customHeight="1">
      <c r="A2113" s="35" t="n"/>
      <c r="B2113" s="35" t="n"/>
      <c r="C2113" s="35" t="n"/>
      <c r="D2113" s="35" t="n"/>
    </row>
    <row r="2114" ht="15" customHeight="1">
      <c r="A2114" s="35" t="n"/>
      <c r="B2114" s="35" t="n"/>
      <c r="C2114" s="35" t="n"/>
      <c r="D2114" s="35" t="n"/>
    </row>
    <row r="2115" ht="15" customHeight="1">
      <c r="A2115" s="35" t="n"/>
      <c r="B2115" s="35" t="n"/>
      <c r="C2115" s="35" t="n"/>
      <c r="D2115" s="35" t="n"/>
    </row>
    <row r="2116" ht="15" customHeight="1">
      <c r="A2116" s="35" t="n"/>
      <c r="B2116" s="35" t="n"/>
      <c r="C2116" s="35" t="n"/>
      <c r="D2116" s="35" t="n"/>
    </row>
    <row r="2117" ht="15" customHeight="1">
      <c r="A2117" s="35" t="n"/>
      <c r="B2117" s="35" t="n"/>
      <c r="C2117" s="35" t="n"/>
      <c r="D2117" s="35" t="n"/>
    </row>
    <row r="2118" ht="15" customHeight="1">
      <c r="A2118" s="35" t="n"/>
      <c r="B2118" s="35" t="n"/>
      <c r="C2118" s="35" t="n"/>
      <c r="D2118" s="35" t="n"/>
    </row>
    <row r="2119" ht="15" customHeight="1">
      <c r="A2119" s="35" t="n"/>
      <c r="B2119" s="35" t="n"/>
      <c r="C2119" s="35" t="n"/>
      <c r="D2119" s="35" t="n"/>
    </row>
    <row r="2120" ht="15" customHeight="1">
      <c r="A2120" s="35" t="n"/>
      <c r="B2120" s="35" t="n"/>
      <c r="C2120" s="35" t="n"/>
      <c r="D2120" s="35" t="n"/>
    </row>
    <row r="2121" ht="15" customHeight="1">
      <c r="A2121" s="35" t="n"/>
      <c r="B2121" s="35" t="n"/>
      <c r="C2121" s="35" t="n"/>
      <c r="D2121" s="35" t="n"/>
    </row>
    <row r="2122" ht="15" customHeight="1">
      <c r="A2122" s="35" t="n"/>
      <c r="B2122" s="35" t="n"/>
      <c r="C2122" s="35" t="n"/>
      <c r="D2122" s="35" t="n"/>
    </row>
    <row r="2123" ht="15" customHeight="1">
      <c r="A2123" s="35" t="n"/>
      <c r="B2123" s="35" t="n"/>
      <c r="C2123" s="35" t="n"/>
      <c r="D2123" s="35" t="n"/>
    </row>
    <row r="2124" ht="15" customHeight="1">
      <c r="A2124" s="35" t="n"/>
      <c r="B2124" s="35" t="n"/>
      <c r="C2124" s="35" t="n"/>
      <c r="D2124" s="35" t="n"/>
    </row>
    <row r="2125" ht="15" customHeight="1">
      <c r="A2125" s="35" t="n"/>
      <c r="B2125" s="35" t="n"/>
      <c r="C2125" s="35" t="n"/>
      <c r="D2125" s="35" t="n"/>
    </row>
    <row r="2126" ht="15" customHeight="1">
      <c r="A2126" s="35" t="n"/>
      <c r="B2126" s="35" t="n"/>
      <c r="C2126" s="35" t="n"/>
      <c r="D2126" s="35" t="n"/>
    </row>
    <row r="2127" ht="15" customHeight="1">
      <c r="A2127" s="35" t="n"/>
      <c r="B2127" s="35" t="n"/>
      <c r="C2127" s="35" t="n"/>
      <c r="D2127" s="35" t="n"/>
    </row>
    <row r="2128" ht="15" customHeight="1">
      <c r="A2128" s="35" t="n"/>
      <c r="B2128" s="35" t="n"/>
      <c r="C2128" s="35" t="n"/>
      <c r="D2128" s="35" t="n"/>
    </row>
    <row r="2129" ht="15" customHeight="1">
      <c r="A2129" s="35" t="n"/>
      <c r="B2129" s="35" t="n"/>
      <c r="C2129" s="35" t="n"/>
      <c r="D2129" s="35" t="n"/>
    </row>
    <row r="2130" ht="15" customHeight="1">
      <c r="A2130" s="35" t="n"/>
      <c r="B2130" s="35" t="n"/>
      <c r="C2130" s="35" t="n"/>
      <c r="D2130" s="35" t="n"/>
    </row>
    <row r="2131" ht="15" customHeight="1">
      <c r="A2131" s="35" t="n"/>
      <c r="B2131" s="35" t="n"/>
      <c r="C2131" s="35" t="n"/>
      <c r="D2131" s="35" t="n"/>
    </row>
    <row r="2132" ht="15" customHeight="1">
      <c r="A2132" s="35" t="n"/>
      <c r="B2132" s="35" t="n"/>
      <c r="C2132" s="35" t="n"/>
      <c r="D2132" s="35" t="n"/>
    </row>
    <row r="2133" ht="15" customHeight="1">
      <c r="A2133" s="35" t="n"/>
      <c r="B2133" s="35" t="n"/>
      <c r="C2133" s="35" t="n"/>
      <c r="D2133" s="35" t="n"/>
    </row>
    <row r="2134" ht="15" customHeight="1">
      <c r="A2134" s="35" t="n"/>
      <c r="B2134" s="35" t="n"/>
      <c r="C2134" s="35" t="n"/>
      <c r="D2134" s="35" t="n"/>
    </row>
    <row r="2135" ht="15" customHeight="1">
      <c r="A2135" s="35" t="n"/>
      <c r="B2135" s="35" t="n"/>
      <c r="C2135" s="35" t="n"/>
      <c r="D2135" s="35" t="n"/>
    </row>
    <row r="2136" ht="15" customHeight="1">
      <c r="A2136" s="35" t="n"/>
      <c r="B2136" s="35" t="n"/>
      <c r="C2136" s="35" t="n"/>
      <c r="D2136" s="35" t="n"/>
    </row>
    <row r="2137" ht="15" customHeight="1">
      <c r="A2137" s="35" t="n"/>
      <c r="B2137" s="35" t="n"/>
      <c r="C2137" s="35" t="n"/>
      <c r="D2137" s="35" t="n"/>
    </row>
    <row r="2138" ht="15" customHeight="1">
      <c r="A2138" s="35" t="n"/>
      <c r="B2138" s="35" t="n"/>
      <c r="C2138" s="35" t="n"/>
      <c r="D2138" s="35" t="n"/>
    </row>
    <row r="2139" ht="15" customHeight="1">
      <c r="A2139" s="35" t="n"/>
      <c r="B2139" s="35" t="n"/>
      <c r="C2139" s="35" t="n"/>
      <c r="D2139" s="35" t="n"/>
    </row>
    <row r="2140" ht="15" customHeight="1">
      <c r="A2140" s="35" t="n"/>
      <c r="B2140" s="35" t="n"/>
      <c r="C2140" s="35" t="n"/>
      <c r="D2140" s="35" t="n"/>
    </row>
    <row r="2141" ht="15" customHeight="1">
      <c r="A2141" s="35" t="n"/>
      <c r="B2141" s="35" t="n"/>
      <c r="C2141" s="35" t="n"/>
      <c r="D2141" s="35" t="n"/>
    </row>
    <row r="2142" ht="15" customHeight="1">
      <c r="A2142" s="35" t="n"/>
      <c r="B2142" s="35" t="n"/>
      <c r="C2142" s="35" t="n"/>
      <c r="D2142" s="35" t="n"/>
    </row>
    <row r="2143" ht="15" customHeight="1">
      <c r="A2143" s="35" t="n"/>
      <c r="B2143" s="35" t="n"/>
      <c r="C2143" s="35" t="n"/>
      <c r="D2143" s="35" t="n"/>
    </row>
    <row r="2144" ht="15" customHeight="1">
      <c r="A2144" s="35" t="n"/>
      <c r="B2144" s="35" t="n"/>
      <c r="C2144" s="35" t="n"/>
      <c r="D2144" s="35" t="n"/>
    </row>
    <row r="2145" ht="15" customHeight="1">
      <c r="A2145" s="35" t="n"/>
      <c r="B2145" s="35" t="n"/>
      <c r="C2145" s="35" t="n"/>
      <c r="D2145" s="35" t="n"/>
    </row>
    <row r="2146" ht="15" customHeight="1">
      <c r="A2146" s="35" t="n"/>
      <c r="B2146" s="35" t="n"/>
      <c r="C2146" s="35" t="n"/>
      <c r="D2146" s="35" t="n"/>
    </row>
    <row r="2147" ht="15" customHeight="1">
      <c r="A2147" s="35" t="n"/>
      <c r="B2147" s="35" t="n"/>
      <c r="C2147" s="35" t="n"/>
      <c r="D2147" s="35" t="n"/>
    </row>
    <row r="2148" ht="15" customHeight="1">
      <c r="A2148" s="35" t="n"/>
      <c r="B2148" s="35" t="n"/>
      <c r="C2148" s="35" t="n"/>
      <c r="D2148" s="35" t="n"/>
    </row>
    <row r="2149" ht="15" customHeight="1">
      <c r="A2149" s="35" t="n"/>
      <c r="B2149" s="35" t="n"/>
      <c r="C2149" s="35" t="n"/>
      <c r="D2149" s="35" t="n"/>
    </row>
    <row r="2150" ht="15" customHeight="1">
      <c r="A2150" s="35" t="n"/>
      <c r="B2150" s="35" t="n"/>
      <c r="C2150" s="35" t="n"/>
      <c r="D2150" s="35" t="n"/>
    </row>
    <row r="2151" ht="15" customHeight="1">
      <c r="A2151" s="35" t="n"/>
      <c r="B2151" s="35" t="n"/>
      <c r="C2151" s="35" t="n"/>
      <c r="D2151" s="35" t="n"/>
    </row>
    <row r="2152" ht="15" customHeight="1">
      <c r="A2152" s="35" t="n"/>
      <c r="B2152" s="35" t="n"/>
      <c r="C2152" s="35" t="n"/>
      <c r="D2152" s="35" t="n"/>
    </row>
    <row r="2153" ht="15" customHeight="1">
      <c r="A2153" s="35" t="n"/>
      <c r="B2153" s="35" t="n"/>
      <c r="C2153" s="35" t="n"/>
      <c r="D2153" s="35" t="n"/>
    </row>
    <row r="2154" ht="15" customHeight="1">
      <c r="A2154" s="35" t="n"/>
      <c r="B2154" s="35" t="n"/>
      <c r="C2154" s="35" t="n"/>
      <c r="D2154" s="35" t="n"/>
    </row>
    <row r="2155" ht="15" customHeight="1">
      <c r="A2155" s="35" t="n"/>
      <c r="B2155" s="35" t="n"/>
      <c r="C2155" s="35" t="n"/>
      <c r="D2155" s="35" t="n"/>
    </row>
    <row r="2156" ht="15" customHeight="1">
      <c r="A2156" s="35" t="n"/>
      <c r="B2156" s="35" t="n"/>
      <c r="C2156" s="35" t="n"/>
      <c r="D2156" s="35" t="n"/>
    </row>
    <row r="2157" ht="15" customHeight="1">
      <c r="A2157" s="35" t="n"/>
      <c r="B2157" s="35" t="n"/>
      <c r="C2157" s="35" t="n"/>
      <c r="D2157" s="35" t="n"/>
    </row>
    <row r="2158" ht="15" customHeight="1">
      <c r="A2158" s="35" t="n"/>
      <c r="B2158" s="35" t="n"/>
      <c r="C2158" s="35" t="n"/>
      <c r="D2158" s="35" t="n"/>
    </row>
    <row r="2159">
      <c r="A2159" s="35" t="n"/>
      <c r="B2159" s="35" t="n"/>
      <c r="C2159" s="35" t="n"/>
      <c r="D2159" s="35" t="n"/>
    </row>
    <row r="2160">
      <c r="A2160" s="35" t="n"/>
      <c r="B2160" s="35" t="n"/>
      <c r="C2160" s="35" t="n"/>
      <c r="D2160" s="35" t="n"/>
    </row>
    <row r="2161">
      <c r="A2161" s="35" t="n"/>
      <c r="B2161" s="35" t="n"/>
      <c r="C2161" s="35" t="n"/>
      <c r="D2161" s="35" t="n"/>
    </row>
    <row r="2162">
      <c r="A2162" s="35" t="n"/>
      <c r="B2162" s="35" t="n"/>
      <c r="C2162" s="35" t="n"/>
      <c r="D2162" s="35" t="n"/>
    </row>
    <row r="2163">
      <c r="A2163" s="35" t="n"/>
      <c r="B2163" s="35" t="n"/>
      <c r="C2163" s="35" t="n"/>
      <c r="D2163" s="35" t="n"/>
    </row>
    <row r="2164">
      <c r="A2164" s="35" t="n"/>
      <c r="B2164" s="35" t="n"/>
      <c r="C2164" s="35" t="n"/>
      <c r="D2164" s="35" t="n"/>
    </row>
    <row r="2165">
      <c r="A2165" s="35" t="n"/>
      <c r="B2165" s="35" t="n"/>
      <c r="C2165" s="35" t="n"/>
      <c r="D2165" s="35" t="n"/>
    </row>
    <row r="2166">
      <c r="A2166" s="35" t="n"/>
      <c r="B2166" s="35" t="n"/>
      <c r="C2166" s="35" t="n"/>
      <c r="D2166" s="35" t="n"/>
    </row>
    <row r="2167">
      <c r="A2167" s="35" t="n"/>
      <c r="B2167" s="35" t="n"/>
      <c r="C2167" s="35" t="n"/>
      <c r="D2167" s="35" t="n"/>
    </row>
    <row r="2168">
      <c r="A2168" s="35" t="n"/>
      <c r="B2168" s="35" t="n"/>
      <c r="C2168" s="35" t="n"/>
      <c r="D2168" s="35" t="n"/>
    </row>
    <row r="2169">
      <c r="A2169" s="35" t="n"/>
      <c r="B2169" s="35" t="n"/>
      <c r="C2169" s="35" t="n"/>
      <c r="D2169" s="35" t="n"/>
    </row>
    <row r="2170">
      <c r="A2170" s="35" t="n"/>
      <c r="B2170" s="35" t="n"/>
      <c r="C2170" s="35" t="n"/>
      <c r="D2170" s="35" t="n"/>
    </row>
    <row r="2171">
      <c r="A2171" s="35" t="n"/>
      <c r="B2171" s="35" t="n"/>
      <c r="C2171" s="35" t="n"/>
      <c r="D2171" s="35" t="n"/>
    </row>
    <row r="2172">
      <c r="A2172" s="35" t="n"/>
      <c r="B2172" s="35" t="n"/>
      <c r="C2172" s="35" t="n"/>
      <c r="D2172" s="35" t="n"/>
    </row>
    <row r="2173">
      <c r="A2173" s="35" t="n"/>
      <c r="B2173" s="35" t="n"/>
      <c r="C2173" s="35" t="n"/>
      <c r="D2173" s="35" t="n"/>
    </row>
    <row r="2174">
      <c r="A2174" s="35" t="n"/>
      <c r="B2174" s="35" t="n"/>
      <c r="C2174" s="35" t="n"/>
      <c r="D2174" s="35" t="n"/>
    </row>
    <row r="2175">
      <c r="A2175" s="35" t="n"/>
      <c r="B2175" s="35" t="n"/>
      <c r="C2175" s="35" t="n"/>
      <c r="D2175" s="35" t="n"/>
    </row>
    <row r="2176">
      <c r="A2176" s="35" t="n"/>
      <c r="B2176" s="35" t="n"/>
      <c r="C2176" s="35" t="n"/>
      <c r="D2176" s="35" t="n"/>
    </row>
    <row r="2177">
      <c r="A2177" s="35" t="n"/>
      <c r="B2177" s="35" t="n"/>
      <c r="C2177" s="35" t="n"/>
      <c r="D2177" s="35" t="n"/>
    </row>
    <row r="2178">
      <c r="A2178" s="35" t="n"/>
      <c r="B2178" s="35" t="n"/>
      <c r="C2178" s="35" t="n"/>
      <c r="D2178" s="35" t="n"/>
    </row>
    <row r="2179">
      <c r="A2179" s="35" t="n"/>
      <c r="B2179" s="35" t="n"/>
      <c r="C2179" s="35" t="n"/>
      <c r="D2179" s="35" t="n"/>
    </row>
    <row r="2180">
      <c r="A2180" s="35" t="n"/>
      <c r="B2180" s="35" t="n"/>
      <c r="C2180" s="35" t="n"/>
      <c r="D2180" s="35" t="n"/>
    </row>
    <row r="2181">
      <c r="A2181" s="35" t="n"/>
      <c r="B2181" s="35" t="n"/>
      <c r="C2181" s="35" t="n"/>
      <c r="D2181" s="35" t="n"/>
    </row>
    <row r="2182">
      <c r="A2182" s="35" t="n"/>
      <c r="B2182" s="35" t="n"/>
      <c r="C2182" s="35" t="n"/>
      <c r="D2182" s="35" t="n"/>
    </row>
    <row r="2183">
      <c r="A2183" s="35" t="n"/>
      <c r="B2183" s="35" t="n"/>
      <c r="C2183" s="35" t="n"/>
      <c r="D2183" s="35" t="n"/>
    </row>
    <row r="2184">
      <c r="A2184" s="35" t="n"/>
      <c r="B2184" s="35" t="n"/>
      <c r="C2184" s="35" t="n"/>
      <c r="D2184" s="35" t="n"/>
    </row>
    <row r="2185">
      <c r="A2185" s="35" t="n"/>
      <c r="B2185" s="35" t="n"/>
      <c r="C2185" s="35" t="n"/>
      <c r="D2185" s="35" t="n"/>
    </row>
    <row r="2186">
      <c r="A2186" s="35" t="n"/>
      <c r="B2186" s="35" t="n"/>
      <c r="C2186" s="35" t="n"/>
      <c r="D2186" s="35" t="n"/>
    </row>
    <row r="2187">
      <c r="A2187" s="35" t="n"/>
      <c r="B2187" s="35" t="n"/>
      <c r="C2187" s="35" t="n"/>
      <c r="D2187" s="35" t="n"/>
    </row>
    <row r="2188">
      <c r="A2188" s="35" t="n"/>
      <c r="B2188" s="35" t="n"/>
      <c r="C2188" s="35" t="n"/>
      <c r="D2188" s="35" t="n"/>
    </row>
    <row r="2189">
      <c r="A2189" s="35" t="n"/>
      <c r="B2189" s="35" t="n"/>
      <c r="C2189" s="35" t="n"/>
      <c r="D2189" s="35" t="n"/>
    </row>
    <row r="2190">
      <c r="A2190" s="35" t="n"/>
      <c r="B2190" s="35" t="n"/>
      <c r="C2190" s="35" t="n"/>
      <c r="D2190" s="35" t="n"/>
    </row>
    <row r="2191">
      <c r="A2191" s="35" t="n"/>
      <c r="B2191" s="35" t="n"/>
      <c r="C2191" s="35" t="n"/>
      <c r="D2191" s="35" t="n"/>
    </row>
    <row r="2192">
      <c r="A2192" s="35" t="n"/>
      <c r="B2192" s="35" t="n"/>
      <c r="C2192" s="35" t="n"/>
      <c r="D2192" s="35" t="n"/>
    </row>
    <row r="2193">
      <c r="A2193" s="35" t="n"/>
      <c r="B2193" s="35" t="n"/>
      <c r="C2193" s="35" t="n"/>
      <c r="D2193" s="35" t="n"/>
    </row>
    <row r="2194">
      <c r="A2194" s="35" t="n"/>
      <c r="B2194" s="35" t="n"/>
      <c r="C2194" s="35" t="n"/>
      <c r="D2194" s="35" t="n"/>
    </row>
    <row r="2195">
      <c r="A2195" s="35" t="n"/>
      <c r="B2195" s="35" t="n"/>
      <c r="C2195" s="35" t="n"/>
      <c r="D2195" s="35" t="n"/>
    </row>
    <row r="2196">
      <c r="A2196" s="35" t="n"/>
      <c r="B2196" s="35" t="n"/>
      <c r="C2196" s="35" t="n"/>
      <c r="D2196" s="35" t="n"/>
    </row>
    <row r="2197">
      <c r="A2197" s="35" t="n"/>
      <c r="B2197" s="35" t="n"/>
      <c r="C2197" s="35" t="n"/>
      <c r="D2197" s="35" t="n"/>
    </row>
    <row r="2198">
      <c r="A2198" s="35" t="n"/>
      <c r="B2198" s="35" t="n"/>
      <c r="C2198" s="35" t="n"/>
      <c r="D2198" s="35" t="n"/>
    </row>
    <row r="2199">
      <c r="A2199" s="35" t="n"/>
      <c r="B2199" s="35" t="n"/>
      <c r="C2199" s="35" t="n"/>
      <c r="D2199" s="35" t="n"/>
    </row>
    <row r="2200">
      <c r="A2200" s="35" t="n"/>
      <c r="B2200" s="35" t="n"/>
      <c r="C2200" s="35" t="n"/>
      <c r="D2200" s="35" t="n"/>
    </row>
    <row r="2201">
      <c r="A2201" s="35" t="n"/>
      <c r="B2201" s="35" t="n"/>
      <c r="C2201" s="35" t="n"/>
      <c r="D2201" s="35" t="n"/>
    </row>
    <row r="2202">
      <c r="A2202" s="35" t="n"/>
      <c r="B2202" s="35" t="n"/>
      <c r="C2202" s="35" t="n"/>
      <c r="D2202" s="35" t="n"/>
    </row>
    <row r="2203">
      <c r="A2203" s="35" t="n"/>
      <c r="B2203" s="35" t="n"/>
      <c r="C2203" s="35" t="n"/>
      <c r="D2203" s="35" t="n"/>
    </row>
    <row r="2204">
      <c r="A2204" s="35" t="n"/>
      <c r="B2204" s="35" t="n"/>
      <c r="C2204" s="35" t="n"/>
      <c r="D2204" s="35" t="n"/>
    </row>
    <row r="2205">
      <c r="A2205" s="35" t="n"/>
      <c r="B2205" s="35" t="n"/>
      <c r="C2205" s="35" t="n"/>
      <c r="D2205" s="35" t="n"/>
    </row>
    <row r="2206">
      <c r="A2206" s="35" t="n"/>
      <c r="B2206" s="35" t="n"/>
      <c r="C2206" s="35" t="n"/>
      <c r="D2206" s="35" t="n"/>
    </row>
    <row r="2207">
      <c r="A2207" s="35" t="n"/>
      <c r="B2207" s="35" t="n"/>
      <c r="C2207" s="35" t="n"/>
      <c r="D2207" s="35" t="n"/>
    </row>
    <row r="2208">
      <c r="A2208" s="35" t="n"/>
      <c r="B2208" s="35" t="n"/>
      <c r="C2208" s="35" t="n"/>
      <c r="D2208" s="35" t="n"/>
    </row>
    <row r="2209">
      <c r="A2209" s="35" t="n"/>
      <c r="B2209" s="35" t="n"/>
      <c r="C2209" s="35" t="n"/>
      <c r="D2209" s="35" t="n"/>
    </row>
    <row r="2210">
      <c r="A2210" s="35" t="n"/>
      <c r="B2210" s="35" t="n"/>
      <c r="C2210" s="35" t="n"/>
      <c r="D2210" s="35" t="n"/>
    </row>
    <row r="2211">
      <c r="A2211" s="35" t="n"/>
      <c r="B2211" s="35" t="n"/>
      <c r="C2211" s="35" t="n"/>
      <c r="D2211" s="35" t="n"/>
    </row>
    <row r="2212">
      <c r="A2212" s="35" t="n"/>
      <c r="B2212" s="35" t="n"/>
      <c r="C2212" s="35" t="n"/>
      <c r="D2212" s="35" t="n"/>
    </row>
    <row r="2213">
      <c r="A2213" s="35" t="n"/>
      <c r="B2213" s="35" t="n"/>
      <c r="C2213" s="35" t="n"/>
      <c r="D2213" s="35" t="n"/>
    </row>
    <row r="2214">
      <c r="A2214" s="35" t="n"/>
      <c r="B2214" s="35" t="n"/>
      <c r="C2214" s="35" t="n"/>
      <c r="D2214" s="35" t="n"/>
    </row>
    <row r="2215">
      <c r="A2215" s="35" t="n"/>
      <c r="B2215" s="35" t="n"/>
      <c r="C2215" s="35" t="n"/>
      <c r="D2215" s="35" t="n"/>
    </row>
    <row r="2216">
      <c r="A2216" s="35" t="n"/>
      <c r="B2216" s="35" t="n"/>
      <c r="C2216" s="35" t="n"/>
      <c r="D2216" s="35" t="n"/>
    </row>
    <row r="2217">
      <c r="A2217" s="35" t="n"/>
      <c r="B2217" s="35" t="n"/>
      <c r="C2217" s="35" t="n"/>
      <c r="D2217" s="35" t="n"/>
    </row>
    <row r="2218">
      <c r="A2218" s="35" t="n"/>
      <c r="B2218" s="35" t="n"/>
      <c r="C2218" s="35" t="n"/>
      <c r="D2218" s="35" t="n"/>
    </row>
    <row r="2219">
      <c r="A2219" s="35" t="n"/>
      <c r="B2219" s="35" t="n"/>
      <c r="C2219" s="35" t="n"/>
      <c r="D2219" s="35" t="n"/>
    </row>
    <row r="2220">
      <c r="A2220" s="35" t="n"/>
      <c r="B2220" s="35" t="n"/>
      <c r="C2220" s="35" t="n"/>
      <c r="D2220" s="35" t="n"/>
    </row>
    <row r="2221">
      <c r="A2221" s="35" t="n"/>
      <c r="B2221" s="35" t="n"/>
      <c r="C2221" s="35" t="n"/>
      <c r="D2221" s="35" t="n"/>
    </row>
    <row r="2222">
      <c r="A2222" s="35" t="n"/>
      <c r="B2222" s="35" t="n"/>
      <c r="C2222" s="35" t="n"/>
      <c r="D2222" s="35" t="n"/>
    </row>
    <row r="2223">
      <c r="A2223" s="35" t="n"/>
      <c r="B2223" s="35" t="n"/>
      <c r="C2223" s="35" t="n"/>
      <c r="D2223" s="35" t="n"/>
    </row>
    <row r="2224">
      <c r="A2224" s="35" t="n"/>
      <c r="B2224" s="35" t="n"/>
      <c r="C2224" s="35" t="n"/>
      <c r="D2224" s="35" t="n"/>
    </row>
    <row r="2225">
      <c r="A2225" s="35" t="n"/>
      <c r="B2225" s="35" t="n"/>
      <c r="C2225" s="35" t="n"/>
      <c r="D2225" s="35" t="n"/>
    </row>
    <row r="2226">
      <c r="A2226" s="35" t="n"/>
      <c r="B2226" s="35" t="n"/>
      <c r="C2226" s="35" t="n"/>
      <c r="D2226" s="35" t="n"/>
    </row>
    <row r="2227">
      <c r="A2227" s="35" t="n"/>
      <c r="B2227" s="35" t="n"/>
      <c r="C2227" s="35" t="n"/>
      <c r="D2227" s="35" t="n"/>
    </row>
    <row r="2228">
      <c r="A2228" s="35" t="n"/>
      <c r="B2228" s="35" t="n"/>
      <c r="C2228" s="35" t="n"/>
      <c r="D2228" s="35" t="n"/>
    </row>
    <row r="2229">
      <c r="A2229" s="35" t="n"/>
      <c r="B2229" s="35" t="n"/>
      <c r="C2229" s="35" t="n"/>
      <c r="D2229" s="35" t="n"/>
    </row>
    <row r="2230">
      <c r="A2230" s="35" t="n"/>
      <c r="B2230" s="35" t="n"/>
      <c r="C2230" s="35" t="n"/>
      <c r="D2230" s="35" t="n"/>
    </row>
    <row r="2231">
      <c r="A2231" s="35" t="n"/>
      <c r="B2231" s="35" t="n"/>
      <c r="C2231" s="35" t="n"/>
      <c r="D2231" s="35" t="n"/>
    </row>
    <row r="2232">
      <c r="A2232" s="35" t="n"/>
      <c r="B2232" s="35" t="n"/>
      <c r="C2232" s="35" t="n"/>
      <c r="D2232" s="35" t="n"/>
    </row>
    <row r="2233">
      <c r="A2233" s="35" t="n"/>
      <c r="B2233" s="35" t="n"/>
      <c r="C2233" s="35" t="n"/>
      <c r="D2233" s="35" t="n"/>
    </row>
    <row r="2234">
      <c r="A2234" s="35" t="n"/>
      <c r="B2234" s="35" t="n"/>
      <c r="C2234" s="35" t="n"/>
      <c r="D2234" s="35" t="n"/>
    </row>
    <row r="2235">
      <c r="A2235" s="35" t="n"/>
      <c r="B2235" s="35" t="n"/>
      <c r="C2235" s="35" t="n"/>
      <c r="D2235" s="35" t="n"/>
    </row>
    <row r="2236">
      <c r="A2236" s="35" t="n"/>
      <c r="B2236" s="35" t="n"/>
      <c r="C2236" s="35" t="n"/>
      <c r="D2236" s="35" t="n"/>
    </row>
    <row r="2237">
      <c r="A2237" s="35" t="n"/>
      <c r="B2237" s="35" t="n"/>
      <c r="C2237" s="35" t="n"/>
      <c r="D2237" s="35" t="n"/>
    </row>
    <row r="2238">
      <c r="A2238" s="35" t="n"/>
      <c r="B2238" s="35" t="n"/>
      <c r="C2238" s="35" t="n"/>
      <c r="D2238" s="35" t="n"/>
    </row>
    <row r="2239">
      <c r="A2239" s="35" t="n"/>
      <c r="B2239" s="35" t="n"/>
      <c r="C2239" s="35" t="n"/>
      <c r="D2239" s="35" t="n"/>
    </row>
    <row r="2240">
      <c r="A2240" s="35" t="n"/>
      <c r="B2240" s="35" t="n"/>
      <c r="C2240" s="35" t="n"/>
      <c r="D2240" s="35" t="n"/>
    </row>
    <row r="2241">
      <c r="A2241" s="35" t="n"/>
      <c r="B2241" s="35" t="n"/>
      <c r="C2241" s="35" t="n"/>
      <c r="D2241" s="35" t="n"/>
    </row>
    <row r="2242">
      <c r="A2242" s="35" t="n"/>
      <c r="B2242" s="35" t="n"/>
      <c r="C2242" s="35" t="n"/>
      <c r="D2242" s="35" t="n"/>
    </row>
    <row r="2243">
      <c r="A2243" s="35" t="n"/>
      <c r="B2243" s="35" t="n"/>
      <c r="C2243" s="35" t="n"/>
      <c r="D2243" s="35" t="n"/>
    </row>
    <row r="2244">
      <c r="A2244" s="35" t="n"/>
      <c r="B2244" s="35" t="n"/>
      <c r="C2244" s="35" t="n"/>
      <c r="D2244" s="35" t="n"/>
    </row>
    <row r="2245">
      <c r="A2245" s="35" t="n"/>
      <c r="B2245" s="35" t="n"/>
      <c r="C2245" s="35" t="n"/>
      <c r="D2245" s="35" t="n"/>
    </row>
    <row r="2246">
      <c r="A2246" s="35" t="n"/>
      <c r="B2246" s="35" t="n"/>
      <c r="C2246" s="35" t="n"/>
      <c r="D2246" s="35" t="n"/>
    </row>
    <row r="2247">
      <c r="A2247" s="35" t="n"/>
      <c r="B2247" s="35" t="n"/>
      <c r="C2247" s="35" t="n"/>
      <c r="D2247" s="35" t="n"/>
    </row>
    <row r="2248">
      <c r="A2248" s="35" t="n"/>
      <c r="B2248" s="35" t="n"/>
      <c r="C2248" s="35" t="n"/>
      <c r="D2248" s="35" t="n"/>
    </row>
    <row r="2249">
      <c r="A2249" s="35" t="n"/>
      <c r="B2249" s="35" t="n"/>
      <c r="C2249" s="35" t="n"/>
      <c r="D2249" s="35" t="n"/>
    </row>
    <row r="2250">
      <c r="A2250" s="35" t="n"/>
      <c r="B2250" s="35" t="n"/>
      <c r="C2250" s="35" t="n"/>
      <c r="D2250" s="35" t="n"/>
    </row>
    <row r="2251">
      <c r="A2251" s="35" t="n"/>
      <c r="B2251" s="35" t="n"/>
      <c r="C2251" s="35" t="n"/>
      <c r="D2251" s="35" t="n"/>
    </row>
    <row r="2252">
      <c r="A2252" s="35" t="n"/>
      <c r="B2252" s="35" t="n"/>
      <c r="C2252" s="35" t="n"/>
      <c r="D2252" s="35" t="n"/>
    </row>
    <row r="2253">
      <c r="A2253" s="35" t="n"/>
      <c r="B2253" s="35" t="n"/>
      <c r="C2253" s="35" t="n"/>
      <c r="D2253" s="35" t="n"/>
    </row>
    <row r="2254">
      <c r="A2254" s="35" t="n"/>
      <c r="B2254" s="35" t="n"/>
      <c r="C2254" s="35" t="n"/>
      <c r="D2254" s="35" t="n"/>
    </row>
    <row r="2255">
      <c r="A2255" s="35" t="n"/>
      <c r="B2255" s="35" t="n"/>
      <c r="C2255" s="35" t="n"/>
      <c r="D2255" s="35" t="n"/>
    </row>
    <row r="2256">
      <c r="A2256" s="35" t="n"/>
      <c r="B2256" s="35" t="n"/>
      <c r="C2256" s="35" t="n"/>
      <c r="D2256" s="35" t="n"/>
    </row>
    <row r="2257">
      <c r="A2257" s="35" t="n"/>
      <c r="B2257" s="35" t="n"/>
      <c r="C2257" s="35" t="n"/>
      <c r="D2257" s="35" t="n"/>
    </row>
    <row r="2258">
      <c r="A2258" s="35" t="n"/>
      <c r="B2258" s="35" t="n"/>
      <c r="C2258" s="35" t="n"/>
      <c r="D2258" s="35" t="n"/>
    </row>
    <row r="2259">
      <c r="A2259" s="35" t="n"/>
      <c r="B2259" s="35" t="n"/>
      <c r="C2259" s="35" t="n"/>
      <c r="D2259" s="35" t="n"/>
    </row>
    <row r="2260">
      <c r="A2260" s="35" t="n"/>
      <c r="B2260" s="35" t="n"/>
      <c r="C2260" s="35" t="n"/>
      <c r="D2260" s="35" t="n"/>
    </row>
    <row r="2261">
      <c r="A2261" s="35" t="n"/>
      <c r="B2261" s="35" t="n"/>
      <c r="C2261" s="35" t="n"/>
      <c r="D2261" s="35" t="n"/>
    </row>
    <row r="2262">
      <c r="A2262" s="35" t="n"/>
      <c r="B2262" s="35" t="n"/>
      <c r="C2262" s="35" t="n"/>
      <c r="D2262" s="35" t="n"/>
    </row>
    <row r="2263">
      <c r="A2263" s="35" t="n"/>
      <c r="B2263" s="35" t="n"/>
      <c r="C2263" s="35" t="n"/>
      <c r="D2263" s="35" t="n"/>
    </row>
    <row r="2264">
      <c r="A2264" s="35" t="n"/>
      <c r="B2264" s="35" t="n"/>
      <c r="C2264" s="35" t="n"/>
      <c r="D2264" s="35" t="n"/>
    </row>
    <row r="2265">
      <c r="A2265" s="35" t="n"/>
      <c r="B2265" s="35" t="n"/>
      <c r="C2265" s="35" t="n"/>
      <c r="D2265" s="35" t="n"/>
    </row>
    <row r="2266">
      <c r="A2266" s="35" t="n"/>
      <c r="B2266" s="35" t="n"/>
      <c r="C2266" s="35" t="n"/>
      <c r="D2266" s="35" t="n"/>
    </row>
    <row r="2267">
      <c r="A2267" s="35" t="n"/>
      <c r="B2267" s="35" t="n"/>
      <c r="C2267" s="35" t="n"/>
      <c r="D2267" s="35" t="n"/>
    </row>
    <row r="2268">
      <c r="A2268" s="35" t="n"/>
      <c r="B2268" s="35" t="n"/>
      <c r="C2268" s="35" t="n"/>
      <c r="D2268" s="35" t="n"/>
    </row>
    <row r="2269">
      <c r="A2269" s="35" t="n"/>
      <c r="B2269" s="35" t="n"/>
      <c r="C2269" s="35" t="n"/>
      <c r="D2269" s="35" t="n"/>
    </row>
    <row r="2270">
      <c r="A2270" s="35" t="n"/>
      <c r="B2270" s="35" t="n"/>
      <c r="C2270" s="35" t="n"/>
      <c r="D2270" s="35" t="n"/>
    </row>
    <row r="2271">
      <c r="A2271" s="35" t="n"/>
      <c r="B2271" s="35" t="n"/>
      <c r="C2271" s="35" t="n"/>
      <c r="D2271" s="35" t="n"/>
    </row>
    <row r="2272">
      <c r="A2272" s="35" t="n"/>
      <c r="B2272" s="35" t="n"/>
      <c r="C2272" s="35" t="n"/>
      <c r="D2272" s="35" t="n"/>
    </row>
    <row r="2273">
      <c r="A2273" s="35" t="n"/>
      <c r="B2273" s="35" t="n"/>
      <c r="C2273" s="35" t="n"/>
      <c r="D2273" s="35" t="n"/>
    </row>
    <row r="2274">
      <c r="A2274" s="35" t="n"/>
      <c r="B2274" s="35" t="n"/>
      <c r="C2274" s="35" t="n"/>
      <c r="D2274" s="35" t="n"/>
    </row>
    <row r="2275">
      <c r="A2275" s="35" t="n"/>
      <c r="B2275" s="35" t="n"/>
      <c r="C2275" s="35" t="n"/>
      <c r="D2275" s="35" t="n"/>
    </row>
    <row r="2276">
      <c r="A2276" s="35" t="n"/>
      <c r="B2276" s="35" t="n"/>
      <c r="C2276" s="35" t="n"/>
      <c r="D2276" s="35" t="n"/>
    </row>
    <row r="2277">
      <c r="A2277" s="35" t="n"/>
      <c r="B2277" s="35" t="n"/>
      <c r="C2277" s="35" t="n"/>
      <c r="D2277" s="35" t="n"/>
    </row>
    <row r="2278">
      <c r="A2278" s="35" t="n"/>
      <c r="B2278" s="35" t="n"/>
      <c r="C2278" s="35" t="n"/>
      <c r="D2278" s="35" t="n"/>
    </row>
    <row r="2279">
      <c r="A2279" s="35" t="n"/>
      <c r="B2279" s="35" t="n"/>
      <c r="C2279" s="35" t="n"/>
      <c r="D2279" s="35" t="n"/>
    </row>
    <row r="2280">
      <c r="A2280" s="35" t="n"/>
      <c r="B2280" s="35" t="n"/>
      <c r="C2280" s="35" t="n"/>
      <c r="D2280" s="35" t="n"/>
    </row>
    <row r="2281">
      <c r="A2281" s="35" t="n"/>
      <c r="B2281" s="35" t="n"/>
      <c r="C2281" s="35" t="n"/>
      <c r="D2281" s="35" t="n"/>
    </row>
    <row r="2282">
      <c r="A2282" s="35" t="n"/>
      <c r="B2282" s="35" t="n"/>
      <c r="C2282" s="35" t="n"/>
      <c r="D2282" s="35" t="n"/>
    </row>
    <row r="2283">
      <c r="A2283" s="35" t="n"/>
      <c r="B2283" s="35" t="n"/>
      <c r="C2283" s="35" t="n"/>
      <c r="D2283" s="35" t="n"/>
    </row>
    <row r="2284">
      <c r="A2284" s="35" t="n"/>
      <c r="B2284" s="35" t="n"/>
      <c r="C2284" s="35" t="n"/>
      <c r="D2284" s="35" t="n"/>
    </row>
    <row r="2285">
      <c r="A2285" s="35" t="n"/>
      <c r="B2285" s="35" t="n"/>
      <c r="C2285" s="35" t="n"/>
      <c r="D2285" s="35" t="n"/>
    </row>
    <row r="2286">
      <c r="A2286" s="35" t="n"/>
      <c r="B2286" s="35" t="n"/>
      <c r="C2286" s="35" t="n"/>
      <c r="D2286" s="35" t="n"/>
    </row>
    <row r="2287">
      <c r="A2287" s="35" t="n"/>
      <c r="B2287" s="35" t="n"/>
      <c r="C2287" s="35" t="n"/>
      <c r="D2287" s="35" t="n"/>
    </row>
    <row r="2288">
      <c r="A2288" s="35" t="n"/>
      <c r="B2288" s="35" t="n"/>
      <c r="C2288" s="35" t="n"/>
      <c r="D2288" s="35" t="n"/>
    </row>
    <row r="2289">
      <c r="A2289" s="35" t="n"/>
      <c r="B2289" s="35" t="n"/>
      <c r="C2289" s="35" t="n"/>
      <c r="D2289" s="35" t="n"/>
    </row>
    <row r="2290">
      <c r="A2290" s="35" t="n"/>
      <c r="B2290" s="35" t="n"/>
      <c r="C2290" s="35" t="n"/>
      <c r="D2290" s="35" t="n"/>
    </row>
    <row r="2291">
      <c r="A2291" s="35" t="n"/>
      <c r="B2291" s="35" t="n"/>
      <c r="C2291" s="35" t="n"/>
      <c r="D2291" s="35" t="n"/>
    </row>
    <row r="2292">
      <c r="A2292" s="35" t="n"/>
      <c r="B2292" s="35" t="n"/>
      <c r="C2292" s="35" t="n"/>
      <c r="D2292" s="35" t="n"/>
    </row>
    <row r="2293">
      <c r="A2293" s="35" t="n"/>
      <c r="B2293" s="35" t="n"/>
      <c r="C2293" s="35" t="n"/>
      <c r="D2293" s="35" t="n"/>
    </row>
    <row r="2294">
      <c r="A2294" s="35" t="n"/>
      <c r="B2294" s="35" t="n"/>
      <c r="C2294" s="35" t="n"/>
      <c r="D2294" s="35" t="n"/>
    </row>
    <row r="2295">
      <c r="A2295" s="35" t="n"/>
      <c r="B2295" s="35" t="n"/>
      <c r="C2295" s="35" t="n"/>
      <c r="D2295" s="35" t="n"/>
    </row>
    <row r="2296">
      <c r="A2296" s="35" t="n"/>
      <c r="B2296" s="35" t="n"/>
      <c r="C2296" s="35" t="n"/>
      <c r="D2296" s="35" t="n"/>
    </row>
    <row r="2297">
      <c r="A2297" s="35" t="n"/>
      <c r="B2297" s="35" t="n"/>
      <c r="C2297" s="35" t="n"/>
      <c r="D2297" s="35" t="n"/>
    </row>
    <row r="2298">
      <c r="A2298" s="35" t="n"/>
      <c r="B2298" s="35" t="n"/>
      <c r="C2298" s="35" t="n"/>
      <c r="D2298" s="35" t="n"/>
    </row>
    <row r="2299">
      <c r="A2299" s="35" t="n"/>
      <c r="B2299" s="35" t="n"/>
      <c r="C2299" s="35" t="n"/>
      <c r="D2299" s="35" t="n"/>
    </row>
    <row r="2300">
      <c r="A2300" s="35" t="n"/>
      <c r="B2300" s="35" t="n"/>
      <c r="C2300" s="35" t="n"/>
      <c r="D2300" s="35" t="n"/>
    </row>
    <row r="2301">
      <c r="A2301" s="35" t="n"/>
      <c r="B2301" s="35" t="n"/>
      <c r="C2301" s="35" t="n"/>
      <c r="D2301" s="35" t="n"/>
    </row>
    <row r="2302">
      <c r="A2302" s="35" t="n"/>
      <c r="B2302" s="35" t="n"/>
      <c r="C2302" s="35" t="n"/>
      <c r="D2302" s="35" t="n"/>
    </row>
    <row r="2303">
      <c r="A2303" s="35" t="n"/>
      <c r="B2303" s="35" t="n"/>
      <c r="C2303" s="35" t="n"/>
      <c r="D2303" s="35" t="n"/>
    </row>
    <row r="2304">
      <c r="A2304" s="35" t="n"/>
      <c r="B2304" s="35" t="n"/>
      <c r="C2304" s="35" t="n"/>
      <c r="D2304" s="35" t="n"/>
    </row>
    <row r="2305">
      <c r="A2305" s="35" t="n"/>
      <c r="B2305" s="35" t="n"/>
      <c r="C2305" s="35" t="n"/>
      <c r="D2305" s="35" t="n"/>
    </row>
    <row r="2306">
      <c r="A2306" s="35" t="n"/>
      <c r="B2306" s="35" t="n"/>
      <c r="C2306" s="35" t="n"/>
      <c r="D2306" s="35" t="n"/>
    </row>
    <row r="2307">
      <c r="A2307" s="35" t="n"/>
      <c r="B2307" s="35" t="n"/>
      <c r="C2307" s="35" t="n"/>
      <c r="D2307" s="35" t="n"/>
    </row>
    <row r="2308">
      <c r="A2308" s="35" t="n"/>
      <c r="B2308" s="35" t="n"/>
      <c r="C2308" s="35" t="n"/>
      <c r="D2308" s="35" t="n"/>
    </row>
    <row r="2309">
      <c r="A2309" s="35" t="n"/>
      <c r="B2309" s="35" t="n"/>
      <c r="C2309" s="35" t="n"/>
      <c r="D2309" s="35" t="n"/>
    </row>
    <row r="2310">
      <c r="A2310" s="35" t="n"/>
      <c r="B2310" s="35" t="n"/>
      <c r="C2310" s="35" t="n"/>
      <c r="D2310" s="35" t="n"/>
    </row>
    <row r="2311">
      <c r="A2311" s="35" t="n"/>
      <c r="B2311" s="35" t="n"/>
      <c r="C2311" s="35" t="n"/>
      <c r="D2311" s="35" t="n"/>
    </row>
    <row r="2312">
      <c r="A2312" s="35" t="n"/>
      <c r="B2312" s="35" t="n"/>
      <c r="C2312" s="35" t="n"/>
      <c r="D2312" s="35" t="n"/>
    </row>
    <row r="2313">
      <c r="A2313" s="35" t="n"/>
      <c r="B2313" s="35" t="n"/>
      <c r="C2313" s="35" t="n"/>
      <c r="D2313" s="35" t="n"/>
    </row>
    <row r="2314">
      <c r="A2314" s="35" t="n"/>
      <c r="B2314" s="35" t="n"/>
      <c r="C2314" s="35" t="n"/>
      <c r="D2314" s="35" t="n"/>
    </row>
    <row r="2315">
      <c r="A2315" s="35" t="n"/>
      <c r="B2315" s="35" t="n"/>
      <c r="C2315" s="35" t="n"/>
      <c r="D2315" s="35" t="n"/>
    </row>
    <row r="2316">
      <c r="A2316" s="35" t="n"/>
      <c r="B2316" s="35" t="n"/>
      <c r="C2316" s="35" t="n"/>
      <c r="D2316" s="35" t="n"/>
    </row>
    <row r="2317">
      <c r="A2317" s="35" t="n"/>
      <c r="B2317" s="35" t="n"/>
      <c r="C2317" s="35" t="n"/>
      <c r="D2317" s="35" t="n"/>
    </row>
    <row r="2318">
      <c r="A2318" s="35" t="n"/>
      <c r="B2318" s="35" t="n"/>
      <c r="C2318" s="35" t="n"/>
      <c r="D2318" s="35" t="n"/>
    </row>
    <row r="2319">
      <c r="A2319" s="35" t="n"/>
      <c r="B2319" s="35" t="n"/>
      <c r="C2319" s="35" t="n"/>
      <c r="D2319" s="35" t="n"/>
    </row>
    <row r="2320">
      <c r="A2320" s="35" t="n"/>
      <c r="B2320" s="35" t="n"/>
      <c r="C2320" s="35" t="n"/>
      <c r="D2320" s="35" t="n"/>
    </row>
    <row r="2321">
      <c r="A2321" s="35" t="n"/>
      <c r="B2321" s="35" t="n"/>
      <c r="C2321" s="35" t="n"/>
      <c r="D2321" s="35" t="n"/>
    </row>
    <row r="2322">
      <c r="A2322" s="35" t="n"/>
      <c r="B2322" s="35" t="n"/>
      <c r="C2322" s="35" t="n"/>
      <c r="D2322" s="35" t="n"/>
    </row>
    <row r="2323">
      <c r="A2323" s="35" t="n"/>
      <c r="B2323" s="35" t="n"/>
      <c r="C2323" s="35" t="n"/>
      <c r="D2323" s="35" t="n"/>
    </row>
    <row r="2324">
      <c r="A2324" s="35" t="n"/>
      <c r="B2324" s="35" t="n"/>
      <c r="C2324" s="35" t="n"/>
      <c r="D2324" s="35" t="n"/>
    </row>
    <row r="2325">
      <c r="A2325" s="35" t="n"/>
      <c r="B2325" s="35" t="n"/>
      <c r="C2325" s="35" t="n"/>
      <c r="D2325" s="35" t="n"/>
    </row>
    <row r="2326">
      <c r="A2326" s="35" t="n"/>
      <c r="B2326" s="35" t="n"/>
      <c r="C2326" s="35" t="n"/>
      <c r="D2326" s="35" t="n"/>
    </row>
    <row r="2327">
      <c r="A2327" s="35" t="n"/>
      <c r="B2327" s="35" t="n"/>
      <c r="C2327" s="35" t="n"/>
      <c r="D2327" s="35" t="n"/>
    </row>
    <row r="2328">
      <c r="A2328" s="35" t="n"/>
      <c r="B2328" s="35" t="n"/>
      <c r="C2328" s="35" t="n"/>
      <c r="D2328" s="35" t="n"/>
    </row>
    <row r="2329">
      <c r="A2329" s="35" t="n"/>
      <c r="B2329" s="35" t="n"/>
      <c r="C2329" s="35" t="n"/>
      <c r="D2329" s="35" t="n"/>
    </row>
    <row r="2330">
      <c r="A2330" s="35" t="n"/>
      <c r="B2330" s="35" t="n"/>
      <c r="C2330" s="35" t="n"/>
      <c r="D2330" s="35" t="n"/>
    </row>
    <row r="2331">
      <c r="A2331" s="35" t="n"/>
      <c r="B2331" s="35" t="n"/>
      <c r="C2331" s="35" t="n"/>
      <c r="D2331" s="35" t="n"/>
    </row>
    <row r="2332">
      <c r="A2332" s="35" t="n"/>
      <c r="B2332" s="35" t="n"/>
      <c r="C2332" s="35" t="n"/>
      <c r="D2332" s="35" t="n"/>
    </row>
    <row r="2333">
      <c r="A2333" s="35" t="n"/>
      <c r="B2333" s="35" t="n"/>
      <c r="C2333" s="35" t="n"/>
      <c r="D2333" s="35" t="n"/>
    </row>
    <row r="2334">
      <c r="A2334" s="35" t="n"/>
      <c r="B2334" s="35" t="n"/>
      <c r="C2334" s="35" t="n"/>
      <c r="D2334" s="35" t="n"/>
    </row>
    <row r="2335">
      <c r="A2335" s="35" t="n"/>
      <c r="B2335" s="35" t="n"/>
      <c r="C2335" s="35" t="n"/>
      <c r="D2335" s="35" t="n"/>
    </row>
    <row r="2336">
      <c r="A2336" s="35" t="n"/>
      <c r="B2336" s="35" t="n"/>
      <c r="C2336" s="35" t="n"/>
      <c r="D2336" s="35" t="n"/>
    </row>
    <row r="2337">
      <c r="A2337" s="35" t="n"/>
      <c r="B2337" s="35" t="n"/>
      <c r="C2337" s="35" t="n"/>
      <c r="D2337" s="35" t="n"/>
    </row>
    <row r="2338">
      <c r="A2338" s="35" t="n"/>
      <c r="B2338" s="35" t="n"/>
      <c r="C2338" s="35" t="n"/>
      <c r="D2338" s="35" t="n"/>
    </row>
    <row r="2339">
      <c r="A2339" s="35" t="n"/>
      <c r="B2339" s="35" t="n"/>
      <c r="C2339" s="35" t="n"/>
      <c r="D2339" s="35" t="n"/>
    </row>
    <row r="2340">
      <c r="A2340" s="35" t="n"/>
      <c r="B2340" s="35" t="n"/>
      <c r="C2340" s="35" t="n"/>
      <c r="D2340" s="35" t="n"/>
    </row>
    <row r="2341">
      <c r="A2341" s="35" t="n"/>
      <c r="B2341" s="35" t="n"/>
      <c r="C2341" s="35" t="n"/>
      <c r="D2341" s="35" t="n"/>
    </row>
    <row r="2342">
      <c r="A2342" s="35" t="n"/>
      <c r="B2342" s="35" t="n"/>
      <c r="C2342" s="35" t="n"/>
      <c r="D2342" s="35" t="n"/>
    </row>
    <row r="2343">
      <c r="A2343" s="35" t="n"/>
      <c r="B2343" s="35" t="n"/>
      <c r="C2343" s="35" t="n"/>
      <c r="D2343" s="35" t="n"/>
    </row>
    <row r="2344">
      <c r="A2344" s="35" t="n"/>
      <c r="B2344" s="35" t="n"/>
      <c r="C2344" s="35" t="n"/>
      <c r="D2344" s="35" t="n"/>
    </row>
    <row r="2345">
      <c r="A2345" s="35" t="n"/>
      <c r="B2345" s="35" t="n"/>
      <c r="C2345" s="35" t="n"/>
      <c r="D2345" s="35" t="n"/>
    </row>
    <row r="2346">
      <c r="A2346" s="35" t="n"/>
      <c r="B2346" s="35" t="n"/>
      <c r="C2346" s="35" t="n"/>
      <c r="D2346" s="35" t="n"/>
    </row>
    <row r="2347">
      <c r="A2347" s="35" t="n"/>
      <c r="B2347" s="35" t="n"/>
      <c r="C2347" s="35" t="n"/>
      <c r="D2347" s="35" t="n"/>
    </row>
    <row r="2348">
      <c r="A2348" s="35" t="n"/>
      <c r="B2348" s="35" t="n"/>
      <c r="C2348" s="35" t="n"/>
      <c r="D2348" s="35" t="n"/>
    </row>
    <row r="2349">
      <c r="A2349" s="35" t="n"/>
      <c r="B2349" s="35" t="n"/>
      <c r="C2349" s="35" t="n"/>
      <c r="D2349" s="35" t="n"/>
    </row>
    <row r="2350">
      <c r="A2350" s="35" t="n"/>
      <c r="B2350" s="35" t="n"/>
      <c r="C2350" s="35" t="n"/>
      <c r="D2350" s="35" t="n"/>
    </row>
    <row r="2351">
      <c r="A2351" s="35" t="n"/>
      <c r="B2351" s="35" t="n"/>
      <c r="C2351" s="35" t="n"/>
      <c r="D2351" s="35" t="n"/>
    </row>
    <row r="2352">
      <c r="A2352" s="35" t="n"/>
      <c r="B2352" s="35" t="n"/>
      <c r="C2352" s="35" t="n"/>
      <c r="D2352" s="35" t="n"/>
    </row>
    <row r="2353">
      <c r="A2353" s="35" t="n"/>
      <c r="B2353" s="35" t="n"/>
      <c r="C2353" s="35" t="n"/>
      <c r="D2353" s="35" t="n"/>
    </row>
    <row r="2354">
      <c r="A2354" s="35" t="n"/>
      <c r="B2354" s="35" t="n"/>
      <c r="C2354" s="35" t="n"/>
      <c r="D2354" s="35" t="n"/>
    </row>
    <row r="2355">
      <c r="A2355" s="35" t="n"/>
      <c r="B2355" s="35" t="n"/>
      <c r="C2355" s="35" t="n"/>
      <c r="D2355" s="35" t="n"/>
    </row>
    <row r="2356">
      <c r="A2356" s="35" t="n"/>
      <c r="B2356" s="35" t="n"/>
      <c r="C2356" s="35" t="n"/>
      <c r="D2356" s="35" t="n"/>
    </row>
    <row r="2357">
      <c r="A2357" s="35" t="n"/>
      <c r="B2357" s="35" t="n"/>
      <c r="C2357" s="35" t="n"/>
      <c r="D2357" s="35" t="n"/>
    </row>
    <row r="2358">
      <c r="A2358" s="35" t="n"/>
      <c r="B2358" s="35" t="n"/>
      <c r="C2358" s="35" t="n"/>
      <c r="D2358" s="35" t="n"/>
    </row>
    <row r="2359">
      <c r="A2359" s="35" t="n"/>
      <c r="B2359" s="35" t="n"/>
      <c r="C2359" s="35" t="n"/>
      <c r="D2359" s="35" t="n"/>
    </row>
    <row r="2360">
      <c r="A2360" s="35" t="n"/>
      <c r="B2360" s="35" t="n"/>
      <c r="C2360" s="35" t="n"/>
      <c r="D2360" s="35" t="n"/>
    </row>
    <row r="2361">
      <c r="A2361" s="35" t="n"/>
      <c r="B2361" s="35" t="n"/>
      <c r="C2361" s="35" t="n"/>
      <c r="D2361" s="35" t="n"/>
    </row>
    <row r="2362">
      <c r="A2362" s="35" t="n"/>
      <c r="B2362" s="35" t="n"/>
      <c r="C2362" s="35" t="n"/>
      <c r="D2362" s="35" t="n"/>
    </row>
    <row r="2363">
      <c r="A2363" s="35" t="n"/>
      <c r="B2363" s="35" t="n"/>
      <c r="C2363" s="35" t="n"/>
      <c r="D2363" s="35" t="n"/>
    </row>
    <row r="2364">
      <c r="A2364" s="35" t="n"/>
      <c r="B2364" s="35" t="n"/>
      <c r="C2364" s="35" t="n"/>
      <c r="D2364" s="35" t="n"/>
    </row>
    <row r="2365">
      <c r="A2365" s="35" t="n"/>
      <c r="B2365" s="35" t="n"/>
      <c r="C2365" s="35" t="n"/>
      <c r="D2365" s="35" t="n"/>
    </row>
    <row r="2366">
      <c r="A2366" s="35" t="n"/>
      <c r="B2366" s="35" t="n"/>
      <c r="C2366" s="35" t="n"/>
      <c r="D2366" s="35" t="n"/>
    </row>
    <row r="2367">
      <c r="A2367" s="35" t="n"/>
      <c r="B2367" s="35" t="n"/>
      <c r="C2367" s="35" t="n"/>
      <c r="D2367" s="35" t="n"/>
    </row>
    <row r="2368">
      <c r="A2368" s="35" t="n"/>
      <c r="B2368" s="35" t="n"/>
      <c r="C2368" s="35" t="n"/>
      <c r="D2368" s="35" t="n"/>
    </row>
    <row r="2369">
      <c r="A2369" s="35" t="n"/>
      <c r="B2369" s="35" t="n"/>
      <c r="C2369" s="35" t="n"/>
      <c r="D2369" s="35" t="n"/>
    </row>
    <row r="2370">
      <c r="A2370" s="35" t="n"/>
      <c r="B2370" s="35" t="n"/>
      <c r="C2370" s="35" t="n"/>
      <c r="D2370" s="35" t="n"/>
    </row>
    <row r="2371">
      <c r="A2371" s="35" t="n"/>
      <c r="B2371" s="35" t="n"/>
      <c r="C2371" s="35" t="n"/>
      <c r="D2371" s="35" t="n"/>
    </row>
    <row r="2372">
      <c r="A2372" s="35" t="n"/>
      <c r="B2372" s="35" t="n"/>
      <c r="C2372" s="35" t="n"/>
      <c r="D2372" s="35" t="n"/>
    </row>
    <row r="2373">
      <c r="A2373" s="35" t="n"/>
      <c r="B2373" s="35" t="n"/>
      <c r="C2373" s="35" t="n"/>
      <c r="D2373" s="35" t="n"/>
    </row>
    <row r="2374">
      <c r="A2374" s="35" t="n"/>
      <c r="B2374" s="35" t="n"/>
      <c r="C2374" s="35" t="n"/>
      <c r="D2374" s="35" t="n"/>
    </row>
    <row r="2375">
      <c r="A2375" s="35" t="n"/>
      <c r="B2375" s="35" t="n"/>
      <c r="C2375" s="35" t="n"/>
      <c r="D2375" s="35" t="n"/>
    </row>
    <row r="2376">
      <c r="A2376" s="35" t="n"/>
      <c r="B2376" s="35" t="n"/>
      <c r="C2376" s="35" t="n"/>
      <c r="D2376" s="35" t="n"/>
    </row>
    <row r="2377">
      <c r="A2377" s="35" t="n"/>
      <c r="B2377" s="35" t="n"/>
      <c r="C2377" s="35" t="n"/>
      <c r="D2377" s="35" t="n"/>
    </row>
    <row r="2378">
      <c r="A2378" s="35" t="n"/>
      <c r="B2378" s="35" t="n"/>
      <c r="C2378" s="35" t="n"/>
      <c r="D2378" s="35" t="n"/>
    </row>
    <row r="2379">
      <c r="A2379" s="35" t="n"/>
      <c r="B2379" s="35" t="n"/>
      <c r="C2379" s="35" t="n"/>
      <c r="D2379" s="35" t="n"/>
    </row>
    <row r="2380">
      <c r="A2380" s="35" t="n"/>
      <c r="B2380" s="35" t="n"/>
      <c r="C2380" s="35" t="n"/>
      <c r="D2380" s="35" t="n"/>
    </row>
    <row r="2381">
      <c r="A2381" s="35" t="n"/>
      <c r="B2381" s="35" t="n"/>
      <c r="C2381" s="35" t="n"/>
      <c r="D2381" s="35" t="n"/>
    </row>
    <row r="2382">
      <c r="A2382" s="35" t="n"/>
      <c r="B2382" s="35" t="n"/>
      <c r="C2382" s="35" t="n"/>
      <c r="D2382" s="35" t="n"/>
    </row>
    <row r="2383">
      <c r="A2383" s="35" t="n"/>
      <c r="B2383" s="35" t="n"/>
      <c r="C2383" s="35" t="n"/>
      <c r="D2383" s="35" t="n"/>
    </row>
    <row r="2384">
      <c r="A2384" s="35" t="n"/>
      <c r="B2384" s="35" t="n"/>
      <c r="C2384" s="35" t="n"/>
      <c r="D2384" s="35" t="n"/>
    </row>
    <row r="2385">
      <c r="A2385" s="35" t="n"/>
      <c r="B2385" s="35" t="n"/>
      <c r="C2385" s="35" t="n"/>
      <c r="D2385" s="35" t="n"/>
    </row>
    <row r="2386">
      <c r="A2386" s="35" t="n"/>
      <c r="B2386" s="35" t="n"/>
      <c r="C2386" s="35" t="n"/>
      <c r="D2386" s="35" t="n"/>
    </row>
    <row r="2387">
      <c r="A2387" s="35" t="n"/>
      <c r="B2387" s="35" t="n"/>
      <c r="C2387" s="35" t="n"/>
      <c r="D2387" s="35" t="n"/>
    </row>
    <row r="2388">
      <c r="A2388" s="35" t="n"/>
      <c r="B2388" s="35" t="n"/>
      <c r="C2388" s="35" t="n"/>
      <c r="D2388" s="35" t="n"/>
    </row>
    <row r="2389">
      <c r="A2389" s="35" t="n"/>
      <c r="B2389" s="35" t="n"/>
      <c r="C2389" s="35" t="n"/>
      <c r="D2389" s="35" t="n"/>
    </row>
    <row r="2390">
      <c r="A2390" s="35" t="n"/>
      <c r="B2390" s="35" t="n"/>
      <c r="C2390" s="35" t="n"/>
      <c r="D2390" s="35" t="n"/>
    </row>
    <row r="2391">
      <c r="A2391" s="35" t="n"/>
      <c r="B2391" s="35" t="n"/>
      <c r="C2391" s="35" t="n"/>
      <c r="D2391" s="35" t="n"/>
    </row>
    <row r="2392">
      <c r="A2392" s="35" t="n"/>
      <c r="B2392" s="35" t="n"/>
      <c r="C2392" s="35" t="n"/>
      <c r="D2392" s="35" t="n"/>
    </row>
    <row r="2393">
      <c r="A2393" s="35" t="n"/>
      <c r="B2393" s="35" t="n"/>
      <c r="C2393" s="35" t="n"/>
      <c r="D2393" s="35" t="n"/>
    </row>
    <row r="2394">
      <c r="A2394" s="35" t="n"/>
      <c r="B2394" s="35" t="n"/>
      <c r="C2394" s="35" t="n"/>
      <c r="D2394" s="35" t="n"/>
    </row>
    <row r="2395">
      <c r="A2395" s="35" t="n"/>
      <c r="B2395" s="35" t="n"/>
      <c r="C2395" s="35" t="n"/>
      <c r="D2395" s="35" t="n"/>
    </row>
    <row r="2396">
      <c r="A2396" s="35" t="n"/>
      <c r="B2396" s="35" t="n"/>
      <c r="C2396" s="35" t="n"/>
      <c r="D2396" s="35" t="n"/>
    </row>
    <row r="2397">
      <c r="A2397" s="35" t="n"/>
      <c r="B2397" s="35" t="n"/>
      <c r="C2397" s="35" t="n"/>
      <c r="D2397" s="35" t="n"/>
    </row>
    <row r="2398">
      <c r="A2398" s="35" t="n"/>
      <c r="B2398" s="35" t="n"/>
      <c r="C2398" s="35" t="n"/>
      <c r="D2398" s="35" t="n"/>
    </row>
    <row r="2399">
      <c r="A2399" s="35" t="n"/>
      <c r="B2399" s="35" t="n"/>
      <c r="C2399" s="35" t="n"/>
      <c r="D2399" s="35" t="n"/>
    </row>
    <row r="2400">
      <c r="A2400" s="35" t="n"/>
      <c r="B2400" s="35" t="n"/>
      <c r="C2400" s="35" t="n"/>
      <c r="D2400" s="35" t="n"/>
    </row>
    <row r="2401">
      <c r="A2401" s="35" t="n"/>
      <c r="B2401" s="35" t="n"/>
      <c r="C2401" s="35" t="n"/>
      <c r="D2401" s="35" t="n"/>
    </row>
    <row r="2402">
      <c r="A2402" s="35" t="n"/>
      <c r="B2402" s="35" t="n"/>
      <c r="C2402" s="35" t="n"/>
      <c r="D2402" s="35" t="n"/>
    </row>
    <row r="2403">
      <c r="A2403" s="35" t="n"/>
      <c r="B2403" s="35" t="n"/>
      <c r="C2403" s="35" t="n"/>
      <c r="D2403" s="35" t="n"/>
    </row>
    <row r="2404">
      <c r="A2404" s="35" t="n"/>
      <c r="B2404" s="35" t="n"/>
      <c r="C2404" s="35" t="n"/>
      <c r="D2404" s="35" t="n"/>
    </row>
    <row r="2405">
      <c r="A2405" s="35" t="n"/>
      <c r="B2405" s="35" t="n"/>
      <c r="C2405" s="35" t="n"/>
      <c r="D2405" s="35" t="n"/>
    </row>
    <row r="2406">
      <c r="A2406" s="35" t="n"/>
      <c r="B2406" s="35" t="n"/>
      <c r="C2406" s="35" t="n"/>
      <c r="D2406" s="35" t="n"/>
    </row>
    <row r="2407">
      <c r="A2407" s="35" t="n"/>
      <c r="B2407" s="35" t="n"/>
      <c r="C2407" s="35" t="n"/>
      <c r="D2407" s="35" t="n"/>
    </row>
    <row r="2408">
      <c r="A2408" s="35" t="n"/>
      <c r="B2408" s="35" t="n"/>
      <c r="C2408" s="35" t="n"/>
      <c r="D2408" s="35" t="n"/>
    </row>
    <row r="2409">
      <c r="A2409" s="35" t="n"/>
      <c r="B2409" s="35" t="n"/>
      <c r="C2409" s="35" t="n"/>
      <c r="D2409" s="35" t="n"/>
    </row>
    <row r="2410">
      <c r="A2410" s="35" t="n"/>
      <c r="B2410" s="35" t="n"/>
      <c r="C2410" s="35" t="n"/>
      <c r="D2410" s="35" t="n"/>
    </row>
    <row r="2411">
      <c r="A2411" s="35" t="n"/>
      <c r="B2411" s="35" t="n"/>
      <c r="C2411" s="35" t="n"/>
      <c r="D2411" s="35" t="n"/>
    </row>
    <row r="2412">
      <c r="A2412" s="35" t="n"/>
      <c r="B2412" s="35" t="n"/>
      <c r="C2412" s="35" t="n"/>
      <c r="D2412" s="35" t="n"/>
    </row>
    <row r="2413">
      <c r="A2413" s="35" t="n"/>
      <c r="B2413" s="35" t="n"/>
      <c r="C2413" s="35" t="n"/>
      <c r="D2413" s="35" t="n"/>
    </row>
    <row r="2414">
      <c r="A2414" s="35" t="n"/>
      <c r="B2414" s="35" t="n"/>
      <c r="C2414" s="35" t="n"/>
      <c r="D2414" s="35" t="n"/>
    </row>
    <row r="2415">
      <c r="A2415" s="35" t="n"/>
      <c r="B2415" s="35" t="n"/>
      <c r="C2415" s="35" t="n"/>
      <c r="D2415" s="35" t="n"/>
    </row>
    <row r="2416">
      <c r="A2416" s="35" t="n"/>
      <c r="B2416" s="35" t="n"/>
      <c r="C2416" s="35" t="n"/>
      <c r="D2416" s="35" t="n"/>
    </row>
    <row r="2417">
      <c r="A2417" s="35" t="n"/>
      <c r="B2417" s="35" t="n"/>
      <c r="C2417" s="35" t="n"/>
      <c r="D2417" s="35" t="n"/>
    </row>
    <row r="2418">
      <c r="A2418" s="35" t="n"/>
      <c r="B2418" s="35" t="n"/>
      <c r="C2418" s="35" t="n"/>
      <c r="D2418" s="35" t="n"/>
    </row>
    <row r="2419">
      <c r="A2419" s="35" t="n"/>
      <c r="B2419" s="35" t="n"/>
      <c r="C2419" s="35" t="n"/>
      <c r="D2419" s="35" t="n"/>
    </row>
    <row r="2420">
      <c r="A2420" s="35" t="n"/>
      <c r="B2420" s="35" t="n"/>
      <c r="C2420" s="35" t="n"/>
      <c r="D2420" s="35" t="n"/>
    </row>
    <row r="2421">
      <c r="A2421" s="35" t="n"/>
      <c r="B2421" s="35" t="n"/>
      <c r="C2421" s="35" t="n"/>
      <c r="D2421" s="35" t="n"/>
    </row>
    <row r="2422">
      <c r="A2422" s="35" t="n"/>
      <c r="B2422" s="35" t="n"/>
      <c r="C2422" s="35" t="n"/>
      <c r="D2422" s="35" t="n"/>
    </row>
    <row r="2423">
      <c r="A2423" s="35" t="n"/>
      <c r="B2423" s="35" t="n"/>
      <c r="C2423" s="35" t="n"/>
      <c r="D2423" s="35" t="n"/>
    </row>
    <row r="2424">
      <c r="A2424" s="35" t="n"/>
      <c r="B2424" s="35" t="n"/>
      <c r="C2424" s="35" t="n"/>
      <c r="D2424" s="35" t="n"/>
    </row>
    <row r="2425">
      <c r="A2425" s="35" t="n"/>
      <c r="B2425" s="35" t="n"/>
      <c r="C2425" s="35" t="n"/>
      <c r="D2425" s="35" t="n"/>
    </row>
    <row r="2426">
      <c r="A2426" s="35" t="n"/>
      <c r="B2426" s="35" t="n"/>
      <c r="C2426" s="35" t="n"/>
      <c r="D2426" s="35" t="n"/>
    </row>
    <row r="2427">
      <c r="A2427" s="35" t="n"/>
      <c r="B2427" s="35" t="n"/>
      <c r="C2427" s="35" t="n"/>
      <c r="D2427" s="35" t="n"/>
    </row>
    <row r="2428">
      <c r="A2428" s="35" t="n"/>
      <c r="B2428" s="35" t="n"/>
      <c r="C2428" s="35" t="n"/>
      <c r="D2428" s="35" t="n"/>
    </row>
    <row r="2429">
      <c r="A2429" s="35" t="n"/>
      <c r="B2429" s="35" t="n"/>
      <c r="C2429" s="35" t="n"/>
      <c r="D2429" s="35" t="n"/>
    </row>
    <row r="2430">
      <c r="A2430" s="35" t="n"/>
      <c r="B2430" s="35" t="n"/>
      <c r="C2430" s="35" t="n"/>
      <c r="D2430" s="35" t="n"/>
    </row>
    <row r="2431">
      <c r="A2431" s="35" t="n"/>
      <c r="B2431" s="35" t="n"/>
      <c r="C2431" s="35" t="n"/>
      <c r="D2431" s="35" t="n"/>
    </row>
    <row r="2432">
      <c r="A2432" s="35" t="n"/>
      <c r="B2432" s="35" t="n"/>
      <c r="C2432" s="35" t="n"/>
      <c r="D2432" s="35" t="n"/>
    </row>
    <row r="2433">
      <c r="A2433" s="35" t="n"/>
      <c r="B2433" s="35" t="n"/>
      <c r="C2433" s="35" t="n"/>
      <c r="D2433" s="35" t="n"/>
    </row>
    <row r="2434">
      <c r="A2434" s="35" t="n"/>
      <c r="B2434" s="35" t="n"/>
      <c r="C2434" s="35" t="n"/>
      <c r="D2434" s="35" t="n"/>
    </row>
    <row r="2435">
      <c r="A2435" s="35" t="n"/>
      <c r="B2435" s="35" t="n"/>
      <c r="C2435" s="35" t="n"/>
      <c r="D2435" s="35" t="n"/>
    </row>
    <row r="2436">
      <c r="A2436" s="35" t="n"/>
      <c r="B2436" s="35" t="n"/>
      <c r="C2436" s="35" t="n"/>
      <c r="D2436" s="35" t="n"/>
    </row>
    <row r="2437">
      <c r="A2437" s="35" t="n"/>
      <c r="B2437" s="35" t="n"/>
      <c r="C2437" s="35" t="n"/>
      <c r="D2437" s="35" t="n"/>
    </row>
    <row r="2438">
      <c r="A2438" s="35" t="n"/>
      <c r="B2438" s="35" t="n"/>
      <c r="C2438" s="35" t="n"/>
      <c r="D2438" s="35" t="n"/>
    </row>
    <row r="2439">
      <c r="A2439" s="35" t="n"/>
      <c r="B2439" s="35" t="n"/>
      <c r="C2439" s="35" t="n"/>
      <c r="D2439" s="35" t="n"/>
    </row>
    <row r="2440">
      <c r="A2440" s="35" t="n"/>
      <c r="B2440" s="35" t="n"/>
      <c r="C2440" s="35" t="n"/>
      <c r="D2440" s="35" t="n"/>
    </row>
    <row r="2441">
      <c r="A2441" s="35" t="n"/>
      <c r="B2441" s="35" t="n"/>
      <c r="C2441" s="35" t="n"/>
      <c r="D2441" s="35" t="n"/>
    </row>
    <row r="2442">
      <c r="A2442" s="35" t="n"/>
      <c r="B2442" s="35" t="n"/>
      <c r="C2442" s="35" t="n"/>
      <c r="D2442" s="35" t="n"/>
    </row>
    <row r="2443">
      <c r="A2443" s="35" t="n"/>
      <c r="B2443" s="35" t="n"/>
      <c r="C2443" s="35" t="n"/>
      <c r="D2443" s="35" t="n"/>
    </row>
    <row r="2444">
      <c r="A2444" s="35" t="n"/>
      <c r="B2444" s="35" t="n"/>
      <c r="C2444" s="35" t="n"/>
      <c r="D2444" s="35" t="n"/>
    </row>
    <row r="2445">
      <c r="A2445" s="35" t="n"/>
      <c r="B2445" s="35" t="n"/>
      <c r="C2445" s="35" t="n"/>
      <c r="D2445" s="35" t="n"/>
    </row>
    <row r="2446">
      <c r="A2446" s="35" t="n"/>
      <c r="B2446" s="35" t="n"/>
      <c r="C2446" s="35" t="n"/>
      <c r="D2446" s="35" t="n"/>
    </row>
    <row r="2447">
      <c r="A2447" s="35" t="n"/>
      <c r="B2447" s="35" t="n"/>
      <c r="C2447" s="35" t="n"/>
      <c r="D2447" s="35" t="n"/>
    </row>
    <row r="2448">
      <c r="A2448" s="35" t="n"/>
      <c r="B2448" s="35" t="n"/>
      <c r="C2448" s="35" t="n"/>
      <c r="D2448" s="35" t="n"/>
    </row>
    <row r="2449">
      <c r="A2449" s="35" t="n"/>
      <c r="B2449" s="35" t="n"/>
      <c r="C2449" s="35" t="n"/>
      <c r="D2449" s="35" t="n"/>
    </row>
    <row r="2450">
      <c r="A2450" s="35" t="n"/>
      <c r="B2450" s="35" t="n"/>
      <c r="C2450" s="35" t="n"/>
      <c r="D2450" s="35" t="n"/>
    </row>
    <row r="2451">
      <c r="A2451" s="35" t="n"/>
      <c r="B2451" s="35" t="n"/>
      <c r="C2451" s="35" t="n"/>
      <c r="D2451" s="35" t="n"/>
    </row>
    <row r="2452">
      <c r="A2452" s="35" t="n"/>
      <c r="B2452" s="35" t="n"/>
      <c r="C2452" s="35" t="n"/>
      <c r="D2452" s="35" t="n"/>
    </row>
    <row r="2453">
      <c r="A2453" s="35" t="n"/>
      <c r="B2453" s="35" t="n"/>
      <c r="C2453" s="35" t="n"/>
      <c r="D2453" s="35" t="n"/>
    </row>
    <row r="2454">
      <c r="A2454" s="35" t="n"/>
      <c r="B2454" s="35" t="n"/>
      <c r="C2454" s="35" t="n"/>
      <c r="D2454" s="35" t="n"/>
    </row>
    <row r="2455">
      <c r="A2455" s="35" t="n"/>
      <c r="B2455" s="35" t="n"/>
      <c r="C2455" s="35" t="n"/>
      <c r="D2455" s="35" t="n"/>
    </row>
    <row r="2456">
      <c r="A2456" s="35" t="n"/>
      <c r="B2456" s="35" t="n"/>
      <c r="C2456" s="35" t="n"/>
      <c r="D2456" s="35" t="n"/>
    </row>
    <row r="2457">
      <c r="A2457" s="35" t="n"/>
      <c r="B2457" s="35" t="n"/>
      <c r="C2457" s="35" t="n"/>
      <c r="D2457" s="35" t="n"/>
    </row>
    <row r="2458">
      <c r="A2458" s="35" t="n"/>
      <c r="B2458" s="35" t="n"/>
      <c r="C2458" s="35" t="n"/>
      <c r="D2458" s="35" t="n"/>
    </row>
    <row r="2459">
      <c r="A2459" s="35" t="n"/>
      <c r="B2459" s="35" t="n"/>
      <c r="C2459" s="35" t="n"/>
      <c r="D2459" s="35" t="n"/>
    </row>
    <row r="2460">
      <c r="A2460" s="35" t="n"/>
      <c r="B2460" s="35" t="n"/>
      <c r="C2460" s="35" t="n"/>
      <c r="D2460" s="35" t="n"/>
    </row>
    <row r="2461">
      <c r="A2461" s="35" t="n"/>
      <c r="B2461" s="35" t="n"/>
      <c r="C2461" s="35" t="n"/>
      <c r="D2461" s="35" t="n"/>
    </row>
    <row r="2462">
      <c r="A2462" s="35" t="n"/>
      <c r="B2462" s="35" t="n"/>
      <c r="C2462" s="35" t="n"/>
      <c r="D2462" s="35" t="n"/>
    </row>
    <row r="2463">
      <c r="A2463" s="35" t="n"/>
      <c r="B2463" s="35" t="n"/>
      <c r="C2463" s="35" t="n"/>
      <c r="D2463" s="35" t="n"/>
    </row>
    <row r="2464">
      <c r="A2464" s="35" t="n"/>
      <c r="B2464" s="35" t="n"/>
      <c r="C2464" s="35" t="n"/>
      <c r="D2464" s="35" t="n"/>
    </row>
    <row r="2465">
      <c r="A2465" s="35" t="n"/>
      <c r="B2465" s="35" t="n"/>
      <c r="C2465" s="35" t="n"/>
      <c r="D2465" s="35" t="n"/>
    </row>
    <row r="2466">
      <c r="A2466" s="35" t="n"/>
      <c r="B2466" s="35" t="n"/>
      <c r="C2466" s="35" t="n"/>
      <c r="D2466" s="35" t="n"/>
    </row>
    <row r="2467">
      <c r="A2467" s="35" t="n"/>
      <c r="B2467" s="35" t="n"/>
      <c r="C2467" s="35" t="n"/>
      <c r="D2467" s="35" t="n"/>
    </row>
    <row r="2468">
      <c r="A2468" s="35" t="n"/>
      <c r="B2468" s="35" t="n"/>
      <c r="C2468" s="35" t="n"/>
      <c r="D2468" s="35" t="n"/>
    </row>
    <row r="2469">
      <c r="A2469" s="35" t="n"/>
      <c r="B2469" s="35" t="n"/>
      <c r="C2469" s="35" t="n"/>
      <c r="D2469" s="35" t="n"/>
    </row>
    <row r="2470">
      <c r="A2470" s="35" t="n"/>
      <c r="B2470" s="35" t="n"/>
      <c r="C2470" s="35" t="n"/>
      <c r="D2470" s="35" t="n"/>
    </row>
    <row r="2471">
      <c r="A2471" s="35" t="n"/>
      <c r="B2471" s="35" t="n"/>
      <c r="C2471" s="35" t="n"/>
      <c r="D2471" s="35" t="n"/>
    </row>
    <row r="2472">
      <c r="A2472" s="35" t="n"/>
      <c r="B2472" s="35" t="n"/>
      <c r="C2472" s="35" t="n"/>
      <c r="D2472" s="35" t="n"/>
    </row>
    <row r="2473">
      <c r="A2473" s="35" t="n"/>
      <c r="B2473" s="35" t="n"/>
      <c r="C2473" s="35" t="n"/>
      <c r="D2473" s="35" t="n"/>
    </row>
    <row r="2474">
      <c r="A2474" s="35" t="n"/>
      <c r="B2474" s="35" t="n"/>
      <c r="C2474" s="35" t="n"/>
      <c r="D2474" s="35" t="n"/>
    </row>
    <row r="2475">
      <c r="A2475" s="35" t="n"/>
      <c r="B2475" s="35" t="n"/>
      <c r="C2475" s="35" t="n"/>
      <c r="D2475" s="35" t="n"/>
    </row>
    <row r="2476">
      <c r="A2476" s="35" t="n"/>
      <c r="B2476" s="35" t="n"/>
      <c r="C2476" s="35" t="n"/>
      <c r="D2476" s="35" t="n"/>
    </row>
    <row r="2477">
      <c r="A2477" s="35" t="n"/>
      <c r="B2477" s="35" t="n"/>
      <c r="C2477" s="35" t="n"/>
      <c r="D2477" s="35" t="n"/>
    </row>
    <row r="2478">
      <c r="A2478" s="35" t="n"/>
      <c r="B2478" s="35" t="n"/>
      <c r="C2478" s="35" t="n"/>
      <c r="D2478" s="35" t="n"/>
    </row>
    <row r="2479">
      <c r="A2479" s="35" t="n"/>
      <c r="B2479" s="35" t="n"/>
      <c r="C2479" s="35" t="n"/>
      <c r="D2479" s="35" t="n"/>
    </row>
    <row r="2480">
      <c r="A2480" s="35" t="n"/>
      <c r="B2480" s="35" t="n"/>
      <c r="C2480" s="35" t="n"/>
      <c r="D2480" s="35" t="n"/>
    </row>
    <row r="2481">
      <c r="A2481" s="35" t="n"/>
      <c r="B2481" s="35" t="n"/>
      <c r="C2481" s="35" t="n"/>
      <c r="D2481" s="35" t="n"/>
    </row>
    <row r="2482">
      <c r="A2482" s="35" t="n"/>
      <c r="B2482" s="35" t="n"/>
      <c r="C2482" s="35" t="n"/>
      <c r="D2482" s="35" t="n"/>
    </row>
    <row r="2483">
      <c r="A2483" s="35" t="n"/>
      <c r="B2483" s="35" t="n"/>
      <c r="C2483" s="35" t="n"/>
      <c r="D2483" s="35" t="n"/>
    </row>
    <row r="2484">
      <c r="A2484" s="35" t="n"/>
      <c r="B2484" s="35" t="n"/>
      <c r="C2484" s="35" t="n"/>
      <c r="D2484" s="35" t="n"/>
    </row>
    <row r="2485">
      <c r="A2485" s="35" t="n"/>
      <c r="B2485" s="35" t="n"/>
      <c r="C2485" s="35" t="n"/>
      <c r="D2485" s="35" t="n"/>
    </row>
    <row r="2486">
      <c r="A2486" s="35" t="n"/>
      <c r="B2486" s="35" t="n"/>
      <c r="C2486" s="35" t="n"/>
      <c r="D2486" s="35" t="n"/>
    </row>
    <row r="2487">
      <c r="A2487" s="35" t="n"/>
      <c r="B2487" s="35" t="n"/>
      <c r="C2487" s="35" t="n"/>
      <c r="D2487" s="35" t="n"/>
    </row>
    <row r="2488">
      <c r="A2488" s="35" t="n"/>
      <c r="B2488" s="35" t="n"/>
      <c r="C2488" s="35" t="n"/>
      <c r="D2488" s="35" t="n"/>
    </row>
    <row r="2489">
      <c r="A2489" s="35" t="n"/>
      <c r="B2489" s="35" t="n"/>
      <c r="C2489" s="35" t="n"/>
      <c r="D2489" s="35" t="n"/>
    </row>
    <row r="2490">
      <c r="A2490" s="35" t="n"/>
      <c r="B2490" s="35" t="n"/>
      <c r="C2490" s="35" t="n"/>
      <c r="D2490" s="35" t="n"/>
    </row>
    <row r="2491">
      <c r="A2491" s="35" t="n"/>
      <c r="B2491" s="35" t="n"/>
      <c r="C2491" s="35" t="n"/>
      <c r="D2491" s="35" t="n"/>
    </row>
    <row r="2492">
      <c r="A2492" s="35" t="n"/>
      <c r="B2492" s="35" t="n"/>
      <c r="C2492" s="35" t="n"/>
      <c r="D2492" s="35" t="n"/>
    </row>
    <row r="2493">
      <c r="A2493" s="35" t="n"/>
      <c r="B2493" s="35" t="n"/>
      <c r="C2493" s="35" t="n"/>
      <c r="D2493" s="35" t="n"/>
    </row>
    <row r="2494">
      <c r="A2494" s="35" t="n"/>
      <c r="B2494" s="35" t="n"/>
      <c r="C2494" s="35" t="n"/>
      <c r="D2494" s="35" t="n"/>
    </row>
    <row r="2495">
      <c r="A2495" s="35" t="n"/>
      <c r="B2495" s="35" t="n"/>
      <c r="C2495" s="35" t="n"/>
      <c r="D2495" s="35" t="n"/>
    </row>
    <row r="2496">
      <c r="A2496" s="35" t="n"/>
      <c r="B2496" s="35" t="n"/>
      <c r="C2496" s="35" t="n"/>
      <c r="D2496" s="35" t="n"/>
    </row>
    <row r="2497">
      <c r="A2497" s="35" t="n"/>
      <c r="B2497" s="35" t="n"/>
      <c r="C2497" s="35" t="n"/>
      <c r="D2497" s="35" t="n"/>
    </row>
    <row r="2498">
      <c r="A2498" s="35" t="n"/>
      <c r="B2498" s="35" t="n"/>
      <c r="C2498" s="35" t="n"/>
      <c r="D2498" s="35" t="n"/>
    </row>
    <row r="2499">
      <c r="A2499" s="35" t="n"/>
      <c r="B2499" s="35" t="n"/>
      <c r="C2499" s="35" t="n"/>
      <c r="D2499" s="35" t="n"/>
    </row>
    <row r="2500">
      <c r="A2500" s="35" t="n"/>
      <c r="B2500" s="35" t="n"/>
      <c r="C2500" s="35" t="n"/>
      <c r="D2500" s="35" t="n"/>
    </row>
    <row r="2501">
      <c r="A2501" s="35" t="n"/>
      <c r="B2501" s="35" t="n"/>
      <c r="C2501" s="35" t="n"/>
      <c r="D2501" s="35" t="n"/>
    </row>
    <row r="2502">
      <c r="A2502" s="35" t="n"/>
      <c r="B2502" s="35" t="n"/>
      <c r="C2502" s="35" t="n"/>
      <c r="D2502" s="35" t="n"/>
    </row>
    <row r="2503">
      <c r="A2503" s="35" t="n"/>
      <c r="B2503" s="35" t="n"/>
      <c r="C2503" s="35" t="n"/>
      <c r="D2503" s="35" t="n"/>
    </row>
    <row r="2504">
      <c r="A2504" s="35" t="n"/>
      <c r="B2504" s="35" t="n"/>
      <c r="C2504" s="35" t="n"/>
      <c r="D2504" s="35" t="n"/>
    </row>
    <row r="2505">
      <c r="A2505" s="35" t="n"/>
      <c r="B2505" s="35" t="n"/>
      <c r="C2505" s="35" t="n"/>
      <c r="D2505" s="35" t="n"/>
    </row>
    <row r="2506">
      <c r="A2506" s="35" t="n"/>
      <c r="B2506" s="35" t="n"/>
      <c r="C2506" s="35" t="n"/>
      <c r="D2506" s="35" t="n"/>
    </row>
    <row r="2507">
      <c r="A2507" s="35" t="n"/>
      <c r="B2507" s="35" t="n"/>
      <c r="C2507" s="35" t="n"/>
      <c r="D2507" s="35" t="n"/>
    </row>
    <row r="2508">
      <c r="A2508" s="35" t="n"/>
      <c r="B2508" s="35" t="n"/>
      <c r="C2508" s="35" t="n"/>
      <c r="D2508" s="35" t="n"/>
    </row>
    <row r="2509">
      <c r="A2509" s="35" t="n"/>
      <c r="B2509" s="35" t="n"/>
      <c r="C2509" s="35" t="n"/>
      <c r="D2509" s="35" t="n"/>
    </row>
    <row r="2510">
      <c r="A2510" s="35" t="n"/>
      <c r="B2510" s="35" t="n"/>
      <c r="C2510" s="35" t="n"/>
      <c r="D2510" s="35" t="n"/>
    </row>
    <row r="2511">
      <c r="A2511" s="35" t="n"/>
      <c r="B2511" s="35" t="n"/>
      <c r="C2511" s="35" t="n"/>
      <c r="D2511" s="35" t="n"/>
    </row>
    <row r="2512">
      <c r="A2512" s="35" t="n"/>
      <c r="B2512" s="35" t="n"/>
      <c r="C2512" s="35" t="n"/>
      <c r="D2512" s="35" t="n"/>
    </row>
    <row r="2513">
      <c r="A2513" s="35" t="n"/>
      <c r="B2513" s="35" t="n"/>
      <c r="C2513" s="35" t="n"/>
      <c r="D2513" s="35" t="n"/>
    </row>
    <row r="2514">
      <c r="A2514" s="35" t="n"/>
      <c r="B2514" s="35" t="n"/>
      <c r="C2514" s="35" t="n"/>
      <c r="D2514" s="35" t="n"/>
    </row>
    <row r="2515">
      <c r="A2515" s="35" t="n"/>
      <c r="B2515" s="35" t="n"/>
      <c r="C2515" s="35" t="n"/>
      <c r="D2515" s="35" t="n"/>
    </row>
    <row r="2516">
      <c r="A2516" s="35" t="n"/>
      <c r="B2516" s="35" t="n"/>
      <c r="C2516" s="35" t="n"/>
      <c r="D2516" s="35" t="n"/>
    </row>
    <row r="2517">
      <c r="A2517" s="35" t="n"/>
      <c r="B2517" s="35" t="n"/>
      <c r="C2517" s="35" t="n"/>
      <c r="D2517" s="35" t="n"/>
    </row>
    <row r="2518">
      <c r="A2518" s="35" t="n"/>
      <c r="B2518" s="35" t="n"/>
      <c r="C2518" s="35" t="n"/>
      <c r="D2518" s="35" t="n"/>
    </row>
    <row r="2519">
      <c r="A2519" s="35" t="n"/>
      <c r="B2519" s="35" t="n"/>
      <c r="C2519" s="35" t="n"/>
      <c r="D2519" s="35" t="n"/>
    </row>
    <row r="2520">
      <c r="A2520" s="35" t="n"/>
      <c r="B2520" s="35" t="n"/>
      <c r="C2520" s="35" t="n"/>
      <c r="D2520" s="35" t="n"/>
    </row>
    <row r="2521">
      <c r="A2521" s="35" t="n"/>
      <c r="B2521" s="35" t="n"/>
      <c r="C2521" s="35" t="n"/>
      <c r="D2521" s="35" t="n"/>
    </row>
    <row r="2522">
      <c r="A2522" s="35" t="n"/>
      <c r="B2522" s="35" t="n"/>
      <c r="C2522" s="35" t="n"/>
      <c r="D2522" s="35" t="n"/>
    </row>
    <row r="2523">
      <c r="A2523" s="35" t="n"/>
      <c r="B2523" s="35" t="n"/>
      <c r="C2523" s="35" t="n"/>
      <c r="D2523" s="35" t="n"/>
    </row>
    <row r="2524">
      <c r="A2524" s="35" t="n"/>
      <c r="B2524" s="35" t="n"/>
      <c r="C2524" s="35" t="n"/>
      <c r="D2524" s="35" t="n"/>
    </row>
    <row r="2525">
      <c r="A2525" s="35" t="n"/>
      <c r="B2525" s="35" t="n"/>
      <c r="C2525" s="35" t="n"/>
      <c r="D2525" s="35" t="n"/>
    </row>
    <row r="2526">
      <c r="A2526" s="35" t="n"/>
      <c r="B2526" s="35" t="n"/>
      <c r="C2526" s="35" t="n"/>
      <c r="D2526" s="35" t="n"/>
    </row>
    <row r="2527">
      <c r="A2527" s="35" t="n"/>
      <c r="B2527" s="35" t="n"/>
      <c r="C2527" s="35" t="n"/>
      <c r="D2527" s="35" t="n"/>
    </row>
    <row r="2528">
      <c r="A2528" s="35" t="n"/>
      <c r="B2528" s="35" t="n"/>
      <c r="C2528" s="35" t="n"/>
      <c r="D2528" s="35" t="n"/>
    </row>
    <row r="2529">
      <c r="A2529" s="35" t="n"/>
      <c r="B2529" s="35" t="n"/>
      <c r="C2529" s="35" t="n"/>
      <c r="D2529" s="35" t="n"/>
    </row>
    <row r="2530">
      <c r="A2530" s="35" t="n"/>
      <c r="B2530" s="35" t="n"/>
      <c r="C2530" s="35" t="n"/>
      <c r="D2530" s="35" t="n"/>
    </row>
    <row r="2531">
      <c r="A2531" s="35" t="n"/>
      <c r="B2531" s="35" t="n"/>
      <c r="C2531" s="35" t="n"/>
      <c r="D2531" s="35" t="n"/>
    </row>
    <row r="2532">
      <c r="A2532" s="35" t="n"/>
      <c r="B2532" s="35" t="n"/>
      <c r="C2532" s="35" t="n"/>
      <c r="D2532" s="35" t="n"/>
    </row>
    <row r="2533">
      <c r="A2533" s="35" t="n"/>
      <c r="B2533" s="35" t="n"/>
      <c r="C2533" s="35" t="n"/>
      <c r="D2533" s="35" t="n"/>
    </row>
    <row r="2534">
      <c r="A2534" s="35" t="n"/>
      <c r="B2534" s="35" t="n"/>
      <c r="C2534" s="35" t="n"/>
      <c r="D2534" s="35" t="n"/>
    </row>
    <row r="2535">
      <c r="A2535" s="35" t="n"/>
      <c r="B2535" s="35" t="n"/>
      <c r="C2535" s="35" t="n"/>
      <c r="D2535" s="35" t="n"/>
    </row>
    <row r="2536">
      <c r="A2536" s="35" t="n"/>
      <c r="B2536" s="35" t="n"/>
      <c r="C2536" s="35" t="n"/>
      <c r="D2536" s="35" t="n"/>
    </row>
    <row r="2537">
      <c r="A2537" s="35" t="n"/>
      <c r="B2537" s="35" t="n"/>
      <c r="C2537" s="35" t="n"/>
      <c r="D2537" s="35" t="n"/>
    </row>
    <row r="2538">
      <c r="A2538" s="35" t="n"/>
      <c r="B2538" s="35" t="n"/>
      <c r="C2538" s="35" t="n"/>
      <c r="D2538" s="35" t="n"/>
    </row>
    <row r="2539">
      <c r="A2539" s="35" t="n"/>
      <c r="B2539" s="35" t="n"/>
      <c r="C2539" s="35" t="n"/>
      <c r="D2539" s="35" t="n"/>
    </row>
    <row r="2540">
      <c r="A2540" s="35" t="n"/>
      <c r="B2540" s="35" t="n"/>
      <c r="C2540" s="35" t="n"/>
      <c r="D2540" s="35" t="n"/>
    </row>
    <row r="2541">
      <c r="A2541" s="35" t="n"/>
      <c r="B2541" s="35" t="n"/>
      <c r="C2541" s="35" t="n"/>
      <c r="D2541" s="35" t="n"/>
    </row>
    <row r="2542">
      <c r="A2542" s="35" t="n"/>
      <c r="B2542" s="35" t="n"/>
      <c r="C2542" s="35" t="n"/>
      <c r="D2542" s="35" t="n"/>
    </row>
    <row r="2543">
      <c r="A2543" s="35" t="n"/>
      <c r="B2543" s="35" t="n"/>
      <c r="C2543" s="35" t="n"/>
      <c r="D2543" s="35" t="n"/>
    </row>
    <row r="2544">
      <c r="A2544" s="35" t="n"/>
      <c r="B2544" s="35" t="n"/>
      <c r="C2544" s="35" t="n"/>
      <c r="D2544" s="35" t="n"/>
    </row>
    <row r="2545">
      <c r="A2545" s="35" t="n"/>
      <c r="B2545" s="35" t="n"/>
      <c r="C2545" s="35" t="n"/>
      <c r="D2545" s="35" t="n"/>
    </row>
    <row r="2546">
      <c r="A2546" s="35" t="n"/>
      <c r="B2546" s="35" t="n"/>
      <c r="C2546" s="35" t="n"/>
      <c r="D2546" s="35" t="n"/>
    </row>
    <row r="2547">
      <c r="A2547" s="35" t="n"/>
      <c r="B2547" s="35" t="n"/>
      <c r="C2547" s="35" t="n"/>
      <c r="D2547" s="35" t="n"/>
    </row>
    <row r="2548">
      <c r="A2548" s="35" t="n"/>
      <c r="B2548" s="35" t="n"/>
      <c r="C2548" s="35" t="n"/>
      <c r="D2548" s="35" t="n"/>
    </row>
    <row r="2549">
      <c r="A2549" s="35" t="n"/>
      <c r="B2549" s="35" t="n"/>
      <c r="C2549" s="35" t="n"/>
      <c r="D2549" s="35" t="n"/>
    </row>
    <row r="2550">
      <c r="A2550" s="35" t="n"/>
      <c r="B2550" s="35" t="n"/>
      <c r="C2550" s="35" t="n"/>
      <c r="D2550" s="35" t="n"/>
    </row>
    <row r="2551">
      <c r="A2551" s="35" t="n"/>
      <c r="B2551" s="35" t="n"/>
      <c r="C2551" s="35" t="n"/>
      <c r="D2551" s="35" t="n"/>
    </row>
    <row r="2552">
      <c r="A2552" s="35" t="n"/>
      <c r="B2552" s="35" t="n"/>
      <c r="C2552" s="35" t="n"/>
      <c r="D2552" s="35" t="n"/>
    </row>
    <row r="2553">
      <c r="A2553" s="35" t="n"/>
      <c r="B2553" s="35" t="n"/>
      <c r="C2553" s="35" t="n"/>
      <c r="D2553" s="35" t="n"/>
    </row>
    <row r="2554">
      <c r="A2554" s="35" t="n"/>
      <c r="B2554" s="35" t="n"/>
      <c r="C2554" s="35" t="n"/>
      <c r="D2554" s="35" t="n"/>
    </row>
    <row r="2555">
      <c r="A2555" s="35" t="n"/>
      <c r="B2555" s="35" t="n"/>
      <c r="C2555" s="35" t="n"/>
      <c r="D2555" s="35" t="n"/>
    </row>
    <row r="2556">
      <c r="A2556" s="35" t="n"/>
      <c r="B2556" s="35" t="n"/>
      <c r="C2556" s="35" t="n"/>
      <c r="D2556" s="35" t="n"/>
    </row>
    <row r="2557">
      <c r="A2557" s="35" t="n"/>
      <c r="B2557" s="35" t="n"/>
      <c r="C2557" s="35" t="n"/>
      <c r="D2557" s="35" t="n"/>
    </row>
    <row r="2558">
      <c r="A2558" s="35" t="n"/>
      <c r="B2558" s="35" t="n"/>
      <c r="C2558" s="35" t="n"/>
      <c r="D2558" s="35" t="n"/>
    </row>
    <row r="2559">
      <c r="A2559" s="35" t="n"/>
      <c r="B2559" s="35" t="n"/>
      <c r="C2559" s="35" t="n"/>
      <c r="D2559" s="35" t="n"/>
    </row>
    <row r="2560">
      <c r="A2560" s="35" t="n"/>
      <c r="B2560" s="35" t="n"/>
      <c r="C2560" s="35" t="n"/>
      <c r="D2560" s="35" t="n"/>
    </row>
    <row r="2561">
      <c r="A2561" s="35" t="n"/>
      <c r="B2561" s="35" t="n"/>
      <c r="C2561" s="35" t="n"/>
      <c r="D2561" s="35" t="n"/>
    </row>
    <row r="2562">
      <c r="A2562" s="35" t="n"/>
      <c r="B2562" s="35" t="n"/>
      <c r="C2562" s="35" t="n"/>
      <c r="D2562" s="35" t="n"/>
    </row>
    <row r="2563">
      <c r="A2563" s="35" t="n"/>
      <c r="B2563" s="35" t="n"/>
      <c r="C2563" s="35" t="n"/>
      <c r="D2563" s="35" t="n"/>
    </row>
    <row r="2564">
      <c r="A2564" s="35" t="n"/>
      <c r="B2564" s="35" t="n"/>
      <c r="C2564" s="35" t="n"/>
      <c r="D2564" s="35" t="n"/>
    </row>
    <row r="2565">
      <c r="A2565" s="35" t="n"/>
      <c r="B2565" s="35" t="n"/>
      <c r="C2565" s="35" t="n"/>
      <c r="D2565" s="35" t="n"/>
    </row>
    <row r="2566">
      <c r="A2566" s="35" t="n"/>
      <c r="B2566" s="35" t="n"/>
      <c r="C2566" s="35" t="n"/>
      <c r="D2566" s="35" t="n"/>
    </row>
    <row r="2567">
      <c r="A2567" s="35" t="n"/>
      <c r="B2567" s="35" t="n"/>
      <c r="C2567" s="35" t="n"/>
      <c r="D2567" s="35" t="n"/>
    </row>
    <row r="2568">
      <c r="A2568" s="35" t="n"/>
      <c r="B2568" s="35" t="n"/>
      <c r="C2568" s="35" t="n"/>
      <c r="D2568" s="35" t="n"/>
    </row>
    <row r="2569">
      <c r="A2569" s="35" t="n"/>
      <c r="B2569" s="35" t="n"/>
      <c r="C2569" s="35" t="n"/>
      <c r="D2569" s="35" t="n"/>
    </row>
    <row r="2570">
      <c r="A2570" s="35" t="n"/>
      <c r="B2570" s="35" t="n"/>
      <c r="C2570" s="35" t="n"/>
      <c r="D2570" s="35" t="n"/>
    </row>
    <row r="2571">
      <c r="A2571" s="35" t="n"/>
      <c r="B2571" s="35" t="n"/>
      <c r="C2571" s="35" t="n"/>
      <c r="D2571" s="35" t="n"/>
    </row>
    <row r="2572">
      <c r="A2572" s="35" t="n"/>
      <c r="B2572" s="35" t="n"/>
      <c r="C2572" s="35" t="n"/>
      <c r="D2572" s="35" t="n"/>
    </row>
    <row r="2573">
      <c r="A2573" s="35" t="n"/>
      <c r="B2573" s="35" t="n"/>
      <c r="C2573" s="35" t="n"/>
      <c r="D2573" s="35" t="n"/>
    </row>
    <row r="2574">
      <c r="A2574" s="35" t="n"/>
      <c r="B2574" s="35" t="n"/>
      <c r="C2574" s="35" t="n"/>
      <c r="D2574" s="35" t="n"/>
    </row>
    <row r="2575">
      <c r="A2575" s="35" t="n"/>
      <c r="B2575" s="35" t="n"/>
      <c r="C2575" s="35" t="n"/>
      <c r="D2575" s="35" t="n"/>
    </row>
    <row r="2576">
      <c r="A2576" s="35" t="n"/>
      <c r="B2576" s="35" t="n"/>
      <c r="C2576" s="35" t="n"/>
      <c r="D2576" s="35" t="n"/>
    </row>
    <row r="2577">
      <c r="A2577" s="35" t="n"/>
      <c r="B2577" s="35" t="n"/>
      <c r="C2577" s="35" t="n"/>
      <c r="D2577" s="35" t="n"/>
    </row>
    <row r="2578">
      <c r="A2578" s="35" t="n"/>
      <c r="B2578" s="35" t="n"/>
      <c r="C2578" s="35" t="n"/>
      <c r="D2578" s="35" t="n"/>
    </row>
    <row r="2579">
      <c r="A2579" s="35" t="n"/>
      <c r="B2579" s="35" t="n"/>
      <c r="C2579" s="35" t="n"/>
      <c r="D2579" s="35" t="n"/>
    </row>
    <row r="2580">
      <c r="A2580" s="35" t="n"/>
      <c r="B2580" s="35" t="n"/>
      <c r="C2580" s="35" t="n"/>
      <c r="D2580" s="35" t="n"/>
    </row>
    <row r="2581">
      <c r="A2581" s="35" t="n"/>
      <c r="B2581" s="35" t="n"/>
      <c r="C2581" s="35" t="n"/>
      <c r="D2581" s="35" t="n"/>
    </row>
    <row r="2582">
      <c r="A2582" s="35" t="n"/>
      <c r="B2582" s="35" t="n"/>
      <c r="C2582" s="35" t="n"/>
      <c r="D2582" s="35" t="n"/>
    </row>
    <row r="2583">
      <c r="A2583" s="35" t="n"/>
      <c r="B2583" s="35" t="n"/>
      <c r="C2583" s="35" t="n"/>
      <c r="D2583" s="35" t="n"/>
    </row>
    <row r="2584">
      <c r="A2584" s="35" t="n"/>
      <c r="B2584" s="35" t="n"/>
      <c r="C2584" s="35" t="n"/>
      <c r="D2584" s="35" t="n"/>
    </row>
    <row r="2585">
      <c r="A2585" s="35" t="n"/>
      <c r="B2585" s="35" t="n"/>
      <c r="C2585" s="35" t="n"/>
      <c r="D2585" s="35" t="n"/>
    </row>
    <row r="2586">
      <c r="A2586" s="35" t="n"/>
      <c r="B2586" s="35" t="n"/>
      <c r="C2586" s="35" t="n"/>
      <c r="D2586" s="35" t="n"/>
    </row>
    <row r="2587">
      <c r="A2587" s="35" t="n"/>
      <c r="B2587" s="35" t="n"/>
      <c r="C2587" s="35" t="n"/>
      <c r="D2587" s="35" t="n"/>
    </row>
    <row r="2588">
      <c r="A2588" s="35" t="n"/>
      <c r="B2588" s="35" t="n"/>
      <c r="C2588" s="35" t="n"/>
      <c r="D2588" s="35" t="n"/>
    </row>
    <row r="2589">
      <c r="A2589" s="35" t="n"/>
      <c r="B2589" s="35" t="n"/>
      <c r="C2589" s="35" t="n"/>
      <c r="D2589" s="35" t="n"/>
    </row>
    <row r="2590">
      <c r="A2590" s="35" t="n"/>
      <c r="B2590" s="35" t="n"/>
      <c r="C2590" s="35" t="n"/>
      <c r="D2590" s="35" t="n"/>
    </row>
    <row r="2591">
      <c r="A2591" s="35" t="n"/>
      <c r="B2591" s="35" t="n"/>
      <c r="C2591" s="35" t="n"/>
      <c r="D2591" s="35" t="n"/>
    </row>
    <row r="2592">
      <c r="A2592" s="35" t="n"/>
      <c r="B2592" s="35" t="n"/>
      <c r="C2592" s="35" t="n"/>
      <c r="D2592" s="35" t="n"/>
    </row>
    <row r="2593">
      <c r="A2593" s="35" t="n"/>
      <c r="B2593" s="35" t="n"/>
      <c r="C2593" s="35" t="n"/>
      <c r="D2593" s="35" t="n"/>
    </row>
    <row r="2594">
      <c r="A2594" s="35" t="n"/>
      <c r="B2594" s="35" t="n"/>
      <c r="C2594" s="35" t="n"/>
      <c r="D2594" s="35" t="n"/>
    </row>
    <row r="2595">
      <c r="A2595" s="35" t="n"/>
      <c r="B2595" s="35" t="n"/>
      <c r="C2595" s="35" t="n"/>
      <c r="D2595" s="35" t="n"/>
    </row>
    <row r="2596">
      <c r="A2596" s="35" t="n"/>
      <c r="B2596" s="35" t="n"/>
      <c r="C2596" s="35" t="n"/>
      <c r="D2596" s="35" t="n"/>
    </row>
    <row r="2597">
      <c r="A2597" s="35" t="n"/>
      <c r="B2597" s="35" t="n"/>
      <c r="C2597" s="35" t="n"/>
      <c r="D2597" s="35" t="n"/>
    </row>
    <row r="2598">
      <c r="A2598" s="35" t="n"/>
      <c r="B2598" s="35" t="n"/>
      <c r="C2598" s="35" t="n"/>
      <c r="D2598" s="35" t="n"/>
    </row>
    <row r="2599">
      <c r="A2599" s="35" t="n"/>
      <c r="B2599" s="35" t="n"/>
      <c r="C2599" s="35" t="n"/>
      <c r="D2599" s="35" t="n"/>
    </row>
    <row r="2600">
      <c r="A2600" s="35" t="n"/>
      <c r="B2600" s="35" t="n"/>
      <c r="C2600" s="35" t="n"/>
      <c r="D2600" s="35" t="n"/>
    </row>
    <row r="2601">
      <c r="A2601" s="35" t="n"/>
      <c r="B2601" s="35" t="n"/>
      <c r="C2601" s="35" t="n"/>
      <c r="D2601" s="35" t="n"/>
    </row>
    <row r="2602">
      <c r="A2602" s="35" t="n"/>
      <c r="B2602" s="35" t="n"/>
      <c r="C2602" s="35" t="n"/>
      <c r="D2602" s="35" t="n"/>
    </row>
    <row r="2603">
      <c r="A2603" s="35" t="n"/>
      <c r="B2603" s="35" t="n"/>
      <c r="C2603" s="35" t="n"/>
      <c r="D2603" s="35" t="n"/>
    </row>
    <row r="2604">
      <c r="A2604" s="35" t="n"/>
      <c r="B2604" s="35" t="n"/>
      <c r="C2604" s="35" t="n"/>
      <c r="D2604" s="35" t="n"/>
    </row>
    <row r="2605">
      <c r="A2605" s="35" t="n"/>
      <c r="B2605" s="35" t="n"/>
      <c r="C2605" s="35" t="n"/>
      <c r="D2605" s="35" t="n"/>
    </row>
    <row r="2606">
      <c r="A2606" s="35" t="n"/>
      <c r="B2606" s="35" t="n"/>
      <c r="C2606" s="35" t="n"/>
      <c r="D2606" s="35" t="n"/>
    </row>
    <row r="2607">
      <c r="A2607" s="35" t="n"/>
      <c r="B2607" s="35" t="n"/>
      <c r="C2607" s="35" t="n"/>
      <c r="D2607" s="35" t="n"/>
    </row>
    <row r="2608">
      <c r="A2608" s="35" t="n"/>
      <c r="B2608" s="35" t="n"/>
      <c r="C2608" s="35" t="n"/>
      <c r="D2608" s="35" t="n"/>
    </row>
    <row r="2609">
      <c r="A2609" s="35" t="n"/>
      <c r="B2609" s="35" t="n"/>
      <c r="C2609" s="35" t="n"/>
      <c r="D2609" s="35" t="n"/>
    </row>
    <row r="2610">
      <c r="A2610" s="35" t="n"/>
      <c r="B2610" s="35" t="n"/>
      <c r="C2610" s="35" t="n"/>
      <c r="D2610" s="35" t="n"/>
    </row>
    <row r="2611">
      <c r="A2611" s="35" t="n"/>
      <c r="B2611" s="35" t="n"/>
      <c r="C2611" s="35" t="n"/>
      <c r="D2611" s="35" t="n"/>
    </row>
    <row r="2612">
      <c r="A2612" s="35" t="n"/>
      <c r="B2612" s="35" t="n"/>
      <c r="C2612" s="35" t="n"/>
      <c r="D2612" s="35" t="n"/>
    </row>
    <row r="2613">
      <c r="A2613" s="35" t="n"/>
      <c r="B2613" s="35" t="n"/>
      <c r="C2613" s="35" t="n"/>
      <c r="D2613" s="35" t="n"/>
    </row>
    <row r="2614">
      <c r="A2614" s="35" t="n"/>
      <c r="B2614" s="35" t="n"/>
      <c r="C2614" s="35" t="n"/>
      <c r="D2614" s="35" t="n"/>
    </row>
    <row r="2615">
      <c r="A2615" s="35" t="n"/>
      <c r="B2615" s="35" t="n"/>
      <c r="C2615" s="35" t="n"/>
      <c r="D2615" s="35" t="n"/>
    </row>
    <row r="2616">
      <c r="A2616" s="35" t="n"/>
      <c r="B2616" s="35" t="n"/>
      <c r="C2616" s="35" t="n"/>
      <c r="D2616" s="35" t="n"/>
    </row>
    <row r="2617">
      <c r="A2617" s="35" t="n"/>
      <c r="B2617" s="35" t="n"/>
      <c r="C2617" s="35" t="n"/>
      <c r="D2617" s="35" t="n"/>
    </row>
    <row r="2618">
      <c r="A2618" s="35" t="n"/>
      <c r="B2618" s="35" t="n"/>
      <c r="C2618" s="35" t="n"/>
      <c r="D2618" s="35" t="n"/>
    </row>
    <row r="2619">
      <c r="A2619" s="35" t="n"/>
      <c r="B2619" s="35" t="n"/>
      <c r="C2619" s="35" t="n"/>
      <c r="D2619" s="35" t="n"/>
    </row>
    <row r="2620">
      <c r="A2620" s="35" t="n"/>
      <c r="B2620" s="35" t="n"/>
      <c r="C2620" s="35" t="n"/>
      <c r="D2620" s="35" t="n"/>
    </row>
    <row r="2621">
      <c r="A2621" s="35" t="n"/>
      <c r="B2621" s="35" t="n"/>
      <c r="C2621" s="35" t="n"/>
      <c r="D2621" s="35" t="n"/>
    </row>
    <row r="2622">
      <c r="A2622" s="35" t="n"/>
      <c r="B2622" s="35" t="n"/>
      <c r="C2622" s="35" t="n"/>
      <c r="D2622" s="35" t="n"/>
    </row>
    <row r="2623">
      <c r="A2623" s="35" t="n"/>
      <c r="B2623" s="35" t="n"/>
      <c r="C2623" s="35" t="n"/>
      <c r="D2623" s="35" t="n"/>
    </row>
    <row r="2624">
      <c r="A2624" s="35" t="n"/>
      <c r="B2624" s="35" t="n"/>
      <c r="C2624" s="35" t="n"/>
      <c r="D2624" s="35" t="n"/>
    </row>
    <row r="2625">
      <c r="A2625" s="35" t="n"/>
      <c r="B2625" s="35" t="n"/>
      <c r="C2625" s="35" t="n"/>
      <c r="D2625" s="35" t="n"/>
    </row>
    <row r="2626">
      <c r="A2626" s="35" t="n"/>
      <c r="B2626" s="35" t="n"/>
      <c r="C2626" s="35" t="n"/>
      <c r="D2626" s="35" t="n"/>
    </row>
    <row r="2627">
      <c r="A2627" s="35" t="n"/>
      <c r="B2627" s="35" t="n"/>
      <c r="C2627" s="35" t="n"/>
      <c r="D2627" s="35" t="n"/>
    </row>
    <row r="2628">
      <c r="A2628" s="35" t="n"/>
      <c r="B2628" s="35" t="n"/>
      <c r="C2628" s="35" t="n"/>
      <c r="D2628" s="35" t="n"/>
    </row>
    <row r="2629">
      <c r="A2629" s="35" t="n"/>
      <c r="B2629" s="35" t="n"/>
      <c r="C2629" s="35" t="n"/>
      <c r="D2629" s="35" t="n"/>
    </row>
    <row r="2630">
      <c r="A2630" s="35" t="n"/>
      <c r="B2630" s="35" t="n"/>
      <c r="C2630" s="35" t="n"/>
      <c r="D2630" s="35" t="n"/>
    </row>
    <row r="2631">
      <c r="A2631" s="35" t="n"/>
      <c r="B2631" s="35" t="n"/>
      <c r="C2631" s="35" t="n"/>
      <c r="D2631" s="35" t="n"/>
    </row>
    <row r="2632">
      <c r="A2632" s="35" t="n"/>
      <c r="B2632" s="35" t="n"/>
      <c r="C2632" s="35" t="n"/>
      <c r="D2632" s="35" t="n"/>
    </row>
    <row r="2633">
      <c r="A2633" s="35" t="n"/>
      <c r="B2633" s="35" t="n"/>
      <c r="C2633" s="35" t="n"/>
      <c r="D2633" s="35" t="n"/>
    </row>
    <row r="2634">
      <c r="A2634" s="35" t="n"/>
      <c r="B2634" s="35" t="n"/>
      <c r="C2634" s="35" t="n"/>
      <c r="D2634" s="35" t="n"/>
    </row>
    <row r="2635">
      <c r="A2635" s="35" t="n"/>
      <c r="B2635" s="35" t="n"/>
      <c r="C2635" s="35" t="n"/>
      <c r="D2635" s="35" t="n"/>
    </row>
    <row r="2636">
      <c r="A2636" s="35" t="n"/>
      <c r="B2636" s="35" t="n"/>
      <c r="C2636" s="35" t="n"/>
      <c r="D2636" s="35" t="n"/>
    </row>
    <row r="2637">
      <c r="A2637" s="35" t="n"/>
      <c r="B2637" s="35" t="n"/>
      <c r="C2637" s="35" t="n"/>
      <c r="D2637" s="35" t="n"/>
    </row>
    <row r="2638">
      <c r="A2638" s="35" t="n"/>
      <c r="B2638" s="35" t="n"/>
      <c r="C2638" s="35" t="n"/>
      <c r="D2638" s="35" t="n"/>
    </row>
    <row r="2639">
      <c r="A2639" s="35" t="n"/>
      <c r="B2639" s="35" t="n"/>
      <c r="C2639" s="35" t="n"/>
      <c r="D2639" s="35" t="n"/>
    </row>
    <row r="2640">
      <c r="A2640" s="35" t="n"/>
      <c r="B2640" s="35" t="n"/>
      <c r="C2640" s="35" t="n"/>
      <c r="D2640" s="35" t="n"/>
    </row>
    <row r="2641">
      <c r="A2641" s="35" t="n"/>
      <c r="B2641" s="35" t="n"/>
      <c r="C2641" s="35" t="n"/>
      <c r="D2641" s="35" t="n"/>
    </row>
    <row r="2642">
      <c r="A2642" s="35" t="n"/>
      <c r="B2642" s="35" t="n"/>
      <c r="C2642" s="35" t="n"/>
      <c r="D2642" s="35" t="n"/>
    </row>
    <row r="2643">
      <c r="A2643" s="35" t="n"/>
      <c r="B2643" s="35" t="n"/>
      <c r="C2643" s="35" t="n"/>
      <c r="D2643" s="35" t="n"/>
    </row>
    <row r="2644">
      <c r="A2644" s="35" t="n"/>
      <c r="B2644" s="35" t="n"/>
      <c r="C2644" s="35" t="n"/>
      <c r="D2644" s="35" t="n"/>
    </row>
    <row r="2645">
      <c r="A2645" s="35" t="n"/>
      <c r="B2645" s="35" t="n"/>
      <c r="C2645" s="35" t="n"/>
      <c r="D2645" s="35" t="n"/>
    </row>
    <row r="2646">
      <c r="A2646" s="35" t="n"/>
      <c r="B2646" s="35" t="n"/>
      <c r="C2646" s="35" t="n"/>
      <c r="D2646" s="35" t="n"/>
    </row>
    <row r="2647">
      <c r="A2647" s="35" t="n"/>
      <c r="B2647" s="35" t="n"/>
      <c r="C2647" s="35" t="n"/>
      <c r="D2647" s="35" t="n"/>
    </row>
    <row r="2648">
      <c r="A2648" s="35" t="n"/>
      <c r="B2648" s="35" t="n"/>
      <c r="C2648" s="35" t="n"/>
      <c r="D2648" s="35" t="n"/>
    </row>
    <row r="2649">
      <c r="A2649" s="35" t="n"/>
      <c r="B2649" s="35" t="n"/>
      <c r="C2649" s="35" t="n"/>
      <c r="D2649" s="35" t="n"/>
    </row>
    <row r="2650">
      <c r="A2650" s="35" t="n"/>
      <c r="B2650" s="35" t="n"/>
      <c r="C2650" s="35" t="n"/>
      <c r="D2650" s="35" t="n"/>
    </row>
    <row r="2651">
      <c r="A2651" s="35" t="n"/>
      <c r="B2651" s="35" t="n"/>
      <c r="C2651" s="35" t="n"/>
      <c r="D2651" s="35" t="n"/>
    </row>
    <row r="2652">
      <c r="A2652" s="35" t="n"/>
      <c r="B2652" s="35" t="n"/>
      <c r="C2652" s="35" t="n"/>
      <c r="D2652" s="35" t="n"/>
    </row>
    <row r="2653">
      <c r="A2653" s="35" t="n"/>
      <c r="B2653" s="35" t="n"/>
      <c r="C2653" s="35" t="n"/>
      <c r="D2653" s="35" t="n"/>
    </row>
    <row r="2654">
      <c r="A2654" s="35" t="n"/>
      <c r="B2654" s="35" t="n"/>
      <c r="C2654" s="35" t="n"/>
      <c r="D2654" s="35" t="n"/>
    </row>
    <row r="2655">
      <c r="A2655" s="35" t="n"/>
      <c r="B2655" s="35" t="n"/>
      <c r="C2655" s="35" t="n"/>
      <c r="D2655" s="35" t="n"/>
    </row>
    <row r="2656">
      <c r="A2656" s="35" t="n"/>
      <c r="B2656" s="35" t="n"/>
      <c r="C2656" s="35" t="n"/>
      <c r="D2656" s="35" t="n"/>
    </row>
    <row r="2657">
      <c r="A2657" s="35" t="n"/>
      <c r="B2657" s="35" t="n"/>
      <c r="C2657" s="35" t="n"/>
      <c r="D2657" s="35" t="n"/>
    </row>
    <row r="2658">
      <c r="A2658" s="35" t="n"/>
      <c r="B2658" s="35" t="n"/>
      <c r="C2658" s="35" t="n"/>
      <c r="D2658" s="35" t="n"/>
    </row>
    <row r="2659">
      <c r="A2659" s="35" t="n"/>
      <c r="B2659" s="35" t="n"/>
      <c r="C2659" s="35" t="n"/>
      <c r="D2659" s="35" t="n"/>
    </row>
    <row r="2660">
      <c r="A2660" s="35" t="n"/>
      <c r="B2660" s="35" t="n"/>
      <c r="C2660" s="35" t="n"/>
      <c r="D2660" s="35" t="n"/>
    </row>
    <row r="2661">
      <c r="A2661" s="35" t="n"/>
      <c r="B2661" s="35" t="n"/>
      <c r="C2661" s="35" t="n"/>
      <c r="D2661" s="35" t="n"/>
    </row>
    <row r="2662">
      <c r="A2662" s="35" t="n"/>
      <c r="B2662" s="35" t="n"/>
      <c r="C2662" s="35" t="n"/>
      <c r="D2662" s="35" t="n"/>
    </row>
    <row r="2663">
      <c r="A2663" s="35" t="n"/>
      <c r="B2663" s="35" t="n"/>
      <c r="C2663" s="35" t="n"/>
      <c r="D2663" s="35" t="n"/>
    </row>
    <row r="2664">
      <c r="A2664" s="35" t="n"/>
      <c r="B2664" s="35" t="n"/>
      <c r="C2664" s="35" t="n"/>
      <c r="D2664" s="35" t="n"/>
    </row>
    <row r="2665">
      <c r="A2665" s="35" t="n"/>
      <c r="B2665" s="35" t="n"/>
      <c r="C2665" s="35" t="n"/>
      <c r="D2665" s="35" t="n"/>
    </row>
    <row r="2666">
      <c r="A2666" s="35" t="n"/>
      <c r="B2666" s="35" t="n"/>
      <c r="C2666" s="35" t="n"/>
      <c r="D2666" s="35" t="n"/>
    </row>
    <row r="2667">
      <c r="A2667" s="35" t="n"/>
      <c r="B2667" s="35" t="n"/>
      <c r="C2667" s="35" t="n"/>
      <c r="D2667" s="35" t="n"/>
    </row>
    <row r="2668">
      <c r="A2668" s="35" t="n"/>
      <c r="B2668" s="35" t="n"/>
      <c r="C2668" s="35" t="n"/>
      <c r="D2668" s="35" t="n"/>
    </row>
    <row r="2669">
      <c r="A2669" s="35" t="n"/>
      <c r="B2669" s="35" t="n"/>
      <c r="C2669" s="35" t="n"/>
      <c r="D2669" s="35" t="n"/>
    </row>
    <row r="2670">
      <c r="A2670" s="35" t="n"/>
      <c r="B2670" s="35" t="n"/>
      <c r="C2670" s="35" t="n"/>
      <c r="D2670" s="35" t="n"/>
    </row>
    <row r="2671">
      <c r="A2671" s="35" t="n"/>
      <c r="B2671" s="35" t="n"/>
      <c r="C2671" s="35" t="n"/>
      <c r="D2671" s="35" t="n"/>
    </row>
    <row r="2672">
      <c r="A2672" s="35" t="n"/>
      <c r="B2672" s="35" t="n"/>
      <c r="C2672" s="35" t="n"/>
      <c r="D2672" s="35" t="n"/>
    </row>
    <row r="2673">
      <c r="A2673" s="35" t="n"/>
      <c r="B2673" s="35" t="n"/>
      <c r="C2673" s="35" t="n"/>
      <c r="D2673" s="35" t="n"/>
    </row>
    <row r="2674">
      <c r="A2674" s="35" t="n"/>
      <c r="B2674" s="35" t="n"/>
      <c r="C2674" s="35" t="n"/>
      <c r="D2674" s="35" t="n"/>
    </row>
    <row r="2675">
      <c r="A2675" s="35" t="n"/>
      <c r="B2675" s="35" t="n"/>
      <c r="C2675" s="35" t="n"/>
      <c r="D2675" s="35" t="n"/>
    </row>
    <row r="2676">
      <c r="A2676" s="35" t="n"/>
      <c r="B2676" s="35" t="n"/>
      <c r="C2676" s="35" t="n"/>
      <c r="D2676" s="35" t="n"/>
    </row>
    <row r="2677">
      <c r="A2677" s="35" t="n"/>
      <c r="B2677" s="35" t="n"/>
      <c r="C2677" s="35" t="n"/>
      <c r="D2677" s="35" t="n"/>
    </row>
    <row r="2678">
      <c r="A2678" s="35" t="n"/>
      <c r="B2678" s="35" t="n"/>
      <c r="C2678" s="35" t="n"/>
      <c r="D2678" s="35" t="n"/>
    </row>
    <row r="2679">
      <c r="A2679" s="35" t="n"/>
      <c r="B2679" s="35" t="n"/>
      <c r="C2679" s="35" t="n"/>
      <c r="D2679" s="35" t="n"/>
    </row>
    <row r="2680">
      <c r="A2680" s="35" t="n"/>
      <c r="B2680" s="35" t="n"/>
      <c r="C2680" s="35" t="n"/>
      <c r="D2680" s="35" t="n"/>
    </row>
    <row r="2681">
      <c r="A2681" s="35" t="n"/>
      <c r="B2681" s="35" t="n"/>
      <c r="C2681" s="35" t="n"/>
      <c r="D2681" s="35" t="n"/>
    </row>
    <row r="2682">
      <c r="A2682" s="35" t="n"/>
      <c r="B2682" s="35" t="n"/>
      <c r="C2682" s="35" t="n"/>
      <c r="D2682" s="35" t="n"/>
    </row>
    <row r="2683">
      <c r="A2683" s="35" t="n"/>
      <c r="B2683" s="35" t="n"/>
      <c r="C2683" s="35" t="n"/>
      <c r="D2683" s="35" t="n"/>
    </row>
    <row r="2684">
      <c r="A2684" s="35" t="n"/>
      <c r="B2684" s="35" t="n"/>
      <c r="C2684" s="35" t="n"/>
      <c r="D2684" s="35" t="n"/>
    </row>
    <row r="2685">
      <c r="A2685" s="35" t="n"/>
      <c r="B2685" s="35" t="n"/>
      <c r="C2685" s="35" t="n"/>
      <c r="D2685" s="35" t="n"/>
    </row>
    <row r="2686">
      <c r="A2686" s="35" t="n"/>
      <c r="B2686" s="35" t="n"/>
      <c r="C2686" s="35" t="n"/>
      <c r="D2686" s="35" t="n"/>
    </row>
    <row r="2687">
      <c r="A2687" s="35" t="n"/>
      <c r="B2687" s="35" t="n"/>
      <c r="C2687" s="35" t="n"/>
      <c r="D2687" s="35" t="n"/>
    </row>
    <row r="2688">
      <c r="A2688" s="35" t="n"/>
      <c r="B2688" s="35" t="n"/>
      <c r="C2688" s="35" t="n"/>
      <c r="D2688" s="35" t="n"/>
    </row>
    <row r="2689">
      <c r="A2689" s="35" t="n"/>
      <c r="B2689" s="35" t="n"/>
      <c r="C2689" s="35" t="n"/>
      <c r="D2689" s="35" t="n"/>
    </row>
    <row r="2690">
      <c r="A2690" s="35" t="n"/>
      <c r="B2690" s="35" t="n"/>
      <c r="C2690" s="35" t="n"/>
      <c r="D2690" s="35" t="n"/>
    </row>
    <row r="2691">
      <c r="A2691" s="35" t="n"/>
      <c r="B2691" s="35" t="n"/>
      <c r="C2691" s="35" t="n"/>
      <c r="D2691" s="35" t="n"/>
    </row>
    <row r="2692">
      <c r="A2692" s="35" t="n"/>
      <c r="B2692" s="35" t="n"/>
      <c r="C2692" s="35" t="n"/>
      <c r="D2692" s="35" t="n"/>
    </row>
    <row r="2693">
      <c r="A2693" s="35" t="n"/>
      <c r="B2693" s="35" t="n"/>
      <c r="C2693" s="35" t="n"/>
      <c r="D2693" s="35" t="n"/>
    </row>
    <row r="2694">
      <c r="A2694" s="35" t="n"/>
      <c r="B2694" s="35" t="n"/>
      <c r="C2694" s="35" t="n"/>
      <c r="D2694" s="35" t="n"/>
    </row>
    <row r="2695">
      <c r="A2695" s="35" t="n"/>
      <c r="B2695" s="35" t="n"/>
      <c r="C2695" s="35" t="n"/>
      <c r="D2695" s="35" t="n"/>
    </row>
    <row r="2696">
      <c r="A2696" s="35" t="n"/>
      <c r="B2696" s="35" t="n"/>
      <c r="C2696" s="35" t="n"/>
      <c r="D2696" s="35" t="n"/>
    </row>
    <row r="2697">
      <c r="A2697" s="35" t="n"/>
      <c r="B2697" s="35" t="n"/>
      <c r="C2697" s="35" t="n"/>
      <c r="D2697" s="35" t="n"/>
    </row>
    <row r="2698">
      <c r="A2698" s="35" t="n"/>
      <c r="B2698" s="35" t="n"/>
      <c r="C2698" s="35" t="n"/>
      <c r="D2698" s="35" t="n"/>
    </row>
    <row r="2699">
      <c r="A2699" s="35" t="n"/>
      <c r="B2699" s="35" t="n"/>
      <c r="C2699" s="35" t="n"/>
      <c r="D2699" s="35" t="n"/>
    </row>
    <row r="2700">
      <c r="A2700" s="35" t="n"/>
      <c r="B2700" s="35" t="n"/>
      <c r="C2700" s="35" t="n"/>
      <c r="D2700" s="35" t="n"/>
    </row>
    <row r="2701">
      <c r="A2701" s="35" t="n"/>
      <c r="B2701" s="35" t="n"/>
      <c r="C2701" s="35" t="n"/>
      <c r="D2701" s="35" t="n"/>
    </row>
    <row r="2702">
      <c r="A2702" s="35" t="n"/>
      <c r="B2702" s="35" t="n"/>
      <c r="C2702" s="35" t="n"/>
      <c r="D2702" s="35" t="n"/>
    </row>
    <row r="2703">
      <c r="A2703" s="35" t="n"/>
      <c r="B2703" s="35" t="n"/>
      <c r="C2703" s="35" t="n"/>
      <c r="D2703" s="35" t="n"/>
    </row>
    <row r="2704">
      <c r="A2704" s="35" t="n"/>
      <c r="B2704" s="35" t="n"/>
      <c r="C2704" s="35" t="n"/>
      <c r="D2704" s="35" t="n"/>
    </row>
    <row r="2705">
      <c r="A2705" s="35" t="n"/>
      <c r="B2705" s="35" t="n"/>
      <c r="C2705" s="35" t="n"/>
      <c r="D2705" s="35" t="n"/>
    </row>
    <row r="2706">
      <c r="A2706" s="35" t="n"/>
      <c r="B2706" s="35" t="n"/>
      <c r="C2706" s="35" t="n"/>
      <c r="D2706" s="35" t="n"/>
    </row>
    <row r="2707">
      <c r="A2707" s="35" t="n"/>
      <c r="B2707" s="35" t="n"/>
      <c r="C2707" s="35" t="n"/>
      <c r="D2707" s="35" t="n"/>
    </row>
    <row r="2708">
      <c r="A2708" s="35" t="n"/>
      <c r="B2708" s="35" t="n"/>
      <c r="C2708" s="35" t="n"/>
      <c r="D2708" s="35" t="n"/>
    </row>
    <row r="2709">
      <c r="A2709" s="35" t="n"/>
      <c r="B2709" s="35" t="n"/>
      <c r="C2709" s="35" t="n"/>
      <c r="D2709" s="35" t="n"/>
    </row>
    <row r="2710">
      <c r="A2710" s="35" t="n"/>
      <c r="B2710" s="35" t="n"/>
      <c r="C2710" s="35" t="n"/>
      <c r="D2710" s="35" t="n"/>
    </row>
    <row r="2711">
      <c r="A2711" s="35" t="n"/>
      <c r="B2711" s="35" t="n"/>
      <c r="C2711" s="35" t="n"/>
      <c r="D2711" s="35" t="n"/>
    </row>
    <row r="2712">
      <c r="A2712" s="35" t="n"/>
      <c r="B2712" s="35" t="n"/>
      <c r="C2712" s="35" t="n"/>
      <c r="D2712" s="35" t="n"/>
    </row>
    <row r="2713">
      <c r="A2713" s="35" t="n"/>
      <c r="B2713" s="35" t="n"/>
      <c r="C2713" s="35" t="n"/>
      <c r="D2713" s="35" t="n"/>
    </row>
    <row r="2714">
      <c r="A2714" s="35" t="n"/>
      <c r="B2714" s="35" t="n"/>
      <c r="C2714" s="35" t="n"/>
      <c r="D2714" s="35" t="n"/>
    </row>
    <row r="2715">
      <c r="A2715" s="35" t="n"/>
      <c r="B2715" s="35" t="n"/>
      <c r="C2715" s="35" t="n"/>
      <c r="D2715" s="35" t="n"/>
    </row>
    <row r="2716">
      <c r="A2716" s="35" t="n"/>
      <c r="B2716" s="35" t="n"/>
      <c r="C2716" s="35" t="n"/>
      <c r="D2716" s="35" t="n"/>
    </row>
    <row r="2717">
      <c r="A2717" s="35" t="n"/>
      <c r="B2717" s="35" t="n"/>
      <c r="C2717" s="35" t="n"/>
      <c r="D2717" s="35" t="n"/>
    </row>
    <row r="2718">
      <c r="A2718" s="35" t="n"/>
      <c r="B2718" s="35" t="n"/>
      <c r="C2718" s="35" t="n"/>
      <c r="D2718" s="35" t="n"/>
    </row>
    <row r="2719">
      <c r="A2719" s="35" t="n"/>
      <c r="B2719" s="35" t="n"/>
      <c r="C2719" s="35" t="n"/>
      <c r="D2719" s="35" t="n"/>
    </row>
    <row r="2720">
      <c r="A2720" s="35" t="n"/>
      <c r="B2720" s="35" t="n"/>
      <c r="C2720" s="35" t="n"/>
      <c r="D2720" s="35" t="n"/>
    </row>
    <row r="2721">
      <c r="A2721" s="35" t="n"/>
      <c r="B2721" s="35" t="n"/>
      <c r="C2721" s="35" t="n"/>
      <c r="D2721" s="35" t="n"/>
    </row>
    <row r="2722">
      <c r="A2722" s="35" t="n"/>
      <c r="B2722" s="35" t="n"/>
      <c r="C2722" s="35" t="n"/>
      <c r="D2722" s="35" t="n"/>
    </row>
    <row r="2723">
      <c r="A2723" s="35" t="n"/>
      <c r="B2723" s="35" t="n"/>
      <c r="C2723" s="35" t="n"/>
      <c r="D2723" s="35" t="n"/>
    </row>
    <row r="2724">
      <c r="A2724" s="35" t="n"/>
      <c r="B2724" s="35" t="n"/>
      <c r="C2724" s="35" t="n"/>
      <c r="D2724" s="35" t="n"/>
    </row>
    <row r="2725">
      <c r="A2725" s="35" t="n"/>
      <c r="B2725" s="35" t="n"/>
      <c r="C2725" s="35" t="n"/>
      <c r="D2725" s="35" t="n"/>
    </row>
    <row r="2726">
      <c r="A2726" s="35" t="n"/>
      <c r="B2726" s="35" t="n"/>
      <c r="C2726" s="35" t="n"/>
      <c r="D2726" s="35" t="n"/>
    </row>
    <row r="2727">
      <c r="A2727" s="35" t="n"/>
      <c r="B2727" s="35" t="n"/>
      <c r="C2727" s="35" t="n"/>
      <c r="D2727" s="35" t="n"/>
    </row>
    <row r="2728">
      <c r="A2728" s="35" t="n"/>
      <c r="B2728" s="35" t="n"/>
      <c r="C2728" s="35" t="n"/>
      <c r="D2728" s="35" t="n"/>
    </row>
    <row r="2729">
      <c r="A2729" s="35" t="n"/>
      <c r="B2729" s="35" t="n"/>
      <c r="C2729" s="35" t="n"/>
      <c r="D2729" s="35" t="n"/>
    </row>
    <row r="2730">
      <c r="A2730" s="35" t="n"/>
      <c r="B2730" s="35" t="n"/>
      <c r="C2730" s="35" t="n"/>
      <c r="D2730" s="35" t="n"/>
    </row>
    <row r="2731">
      <c r="A2731" s="35" t="n"/>
      <c r="B2731" s="35" t="n"/>
      <c r="C2731" s="35" t="n"/>
      <c r="D2731" s="35" t="n"/>
    </row>
    <row r="2732">
      <c r="A2732" s="35" t="n"/>
      <c r="B2732" s="35" t="n"/>
      <c r="C2732" s="35" t="n"/>
      <c r="D2732" s="35" t="n"/>
    </row>
    <row r="2733">
      <c r="A2733" s="35" t="n"/>
      <c r="B2733" s="35" t="n"/>
      <c r="C2733" s="35" t="n"/>
      <c r="D2733" s="35" t="n"/>
    </row>
    <row r="2734">
      <c r="A2734" s="35" t="n"/>
      <c r="B2734" s="35" t="n"/>
      <c r="C2734" s="35" t="n"/>
      <c r="D2734" s="35" t="n"/>
    </row>
    <row r="2735">
      <c r="A2735" s="35" t="n"/>
      <c r="B2735" s="35" t="n"/>
      <c r="C2735" s="35" t="n"/>
      <c r="D2735" s="35" t="n"/>
    </row>
    <row r="2736">
      <c r="A2736" s="35" t="n"/>
      <c r="B2736" s="35" t="n"/>
      <c r="C2736" s="35" t="n"/>
      <c r="D2736" s="35" t="n"/>
    </row>
    <row r="2737">
      <c r="A2737" s="35" t="n"/>
      <c r="B2737" s="35" t="n"/>
      <c r="C2737" s="35" t="n"/>
      <c r="D2737" s="35" t="n"/>
    </row>
    <row r="2738">
      <c r="A2738" s="35" t="n"/>
      <c r="B2738" s="35" t="n"/>
      <c r="C2738" s="35" t="n"/>
      <c r="D2738" s="35" t="n"/>
    </row>
    <row r="2739">
      <c r="A2739" s="35" t="n"/>
      <c r="B2739" s="35" t="n"/>
      <c r="C2739" s="35" t="n"/>
      <c r="D2739" s="35" t="n"/>
    </row>
    <row r="2740">
      <c r="A2740" s="35" t="n"/>
      <c r="B2740" s="35" t="n"/>
      <c r="C2740" s="35" t="n"/>
      <c r="D2740" s="35" t="n"/>
    </row>
    <row r="2741">
      <c r="A2741" s="35" t="n"/>
      <c r="B2741" s="35" t="n"/>
      <c r="C2741" s="35" t="n"/>
      <c r="D2741" s="35" t="n"/>
    </row>
    <row r="2742">
      <c r="A2742" s="35" t="n"/>
      <c r="B2742" s="35" t="n"/>
      <c r="C2742" s="35" t="n"/>
      <c r="D2742" s="35" t="n"/>
    </row>
    <row r="2743">
      <c r="A2743" s="35" t="n"/>
      <c r="B2743" s="35" t="n"/>
      <c r="C2743" s="35" t="n"/>
      <c r="D2743" s="35" t="n"/>
    </row>
    <row r="2744">
      <c r="A2744" s="35" t="n"/>
      <c r="B2744" s="35" t="n"/>
      <c r="C2744" s="35" t="n"/>
      <c r="D2744" s="35" t="n"/>
    </row>
    <row r="2745">
      <c r="A2745" s="35" t="n"/>
      <c r="B2745" s="35" t="n"/>
      <c r="C2745" s="35" t="n"/>
      <c r="D2745" s="35" t="n"/>
    </row>
    <row r="2746">
      <c r="A2746" s="35" t="n"/>
      <c r="B2746" s="35" t="n"/>
      <c r="C2746" s="35" t="n"/>
      <c r="D2746" s="35" t="n"/>
    </row>
    <row r="2747">
      <c r="A2747" s="35" t="n"/>
      <c r="B2747" s="35" t="n"/>
      <c r="C2747" s="35" t="n"/>
      <c r="D2747" s="35" t="n"/>
    </row>
    <row r="2748">
      <c r="A2748" s="35" t="n"/>
      <c r="B2748" s="35" t="n"/>
      <c r="C2748" s="35" t="n"/>
      <c r="D2748" s="35" t="n"/>
    </row>
    <row r="2749">
      <c r="A2749" s="35" t="n"/>
      <c r="B2749" s="35" t="n"/>
      <c r="C2749" s="35" t="n"/>
      <c r="D2749" s="35" t="n"/>
    </row>
    <row r="2750">
      <c r="A2750" s="35" t="n"/>
      <c r="B2750" s="35" t="n"/>
      <c r="C2750" s="35" t="n"/>
      <c r="D2750" s="35" t="n"/>
    </row>
    <row r="2751">
      <c r="A2751" s="35" t="n"/>
      <c r="B2751" s="35" t="n"/>
      <c r="C2751" s="35" t="n"/>
      <c r="D2751" s="35" t="n"/>
    </row>
    <row r="2752">
      <c r="A2752" s="35" t="n"/>
      <c r="B2752" s="35" t="n"/>
      <c r="C2752" s="35" t="n"/>
      <c r="D2752" s="35" t="n"/>
    </row>
    <row r="2753">
      <c r="A2753" s="35" t="n"/>
      <c r="B2753" s="35" t="n"/>
      <c r="C2753" s="35" t="n"/>
      <c r="D2753" s="35" t="n"/>
    </row>
    <row r="2754">
      <c r="A2754" s="35" t="n"/>
      <c r="B2754" s="35" t="n"/>
      <c r="C2754" s="35" t="n"/>
      <c r="D2754" s="35" t="n"/>
    </row>
    <row r="2755">
      <c r="A2755" s="35" t="n"/>
      <c r="B2755" s="35" t="n"/>
      <c r="C2755" s="35" t="n"/>
      <c r="D2755" s="35" t="n"/>
    </row>
    <row r="2756">
      <c r="A2756" s="35" t="n"/>
      <c r="B2756" s="35" t="n"/>
      <c r="C2756" s="35" t="n"/>
      <c r="D2756" s="35" t="n"/>
    </row>
    <row r="2757">
      <c r="A2757" s="35" t="n"/>
      <c r="B2757" s="35" t="n"/>
      <c r="C2757" s="35" t="n"/>
      <c r="D2757" s="35" t="n"/>
    </row>
    <row r="2758">
      <c r="A2758" s="35" t="n"/>
      <c r="B2758" s="35" t="n"/>
      <c r="C2758" s="35" t="n"/>
      <c r="D2758" s="35" t="n"/>
    </row>
    <row r="2759">
      <c r="A2759" s="35" t="n"/>
      <c r="B2759" s="35" t="n"/>
      <c r="C2759" s="35" t="n"/>
      <c r="D2759" s="35" t="n"/>
    </row>
    <row r="2760">
      <c r="A2760" s="35" t="n"/>
      <c r="B2760" s="35" t="n"/>
      <c r="C2760" s="35" t="n"/>
      <c r="D2760" s="35" t="n"/>
    </row>
    <row r="2761">
      <c r="A2761" s="35" t="n"/>
      <c r="B2761" s="35" t="n"/>
      <c r="C2761" s="35" t="n"/>
      <c r="D2761" s="35" t="n"/>
    </row>
    <row r="2762">
      <c r="A2762" s="35" t="n"/>
      <c r="B2762" s="35" t="n"/>
      <c r="C2762" s="35" t="n"/>
      <c r="D2762" s="35" t="n"/>
    </row>
    <row r="2763">
      <c r="A2763" s="35" t="n"/>
      <c r="B2763" s="35" t="n"/>
      <c r="C2763" s="35" t="n"/>
      <c r="D2763" s="35" t="n"/>
    </row>
    <row r="2764">
      <c r="A2764" s="35" t="n"/>
      <c r="B2764" s="35" t="n"/>
      <c r="C2764" s="35" t="n"/>
      <c r="D2764" s="35" t="n"/>
    </row>
    <row r="2765">
      <c r="A2765" s="35" t="n"/>
      <c r="B2765" s="35" t="n"/>
      <c r="C2765" s="35" t="n"/>
      <c r="D2765" s="35" t="n"/>
    </row>
    <row r="2766">
      <c r="A2766" s="35" t="n"/>
      <c r="B2766" s="35" t="n"/>
      <c r="C2766" s="35" t="n"/>
      <c r="D2766" s="35" t="n"/>
    </row>
    <row r="2767">
      <c r="A2767" s="35" t="n"/>
      <c r="B2767" s="35" t="n"/>
      <c r="C2767" s="35" t="n"/>
      <c r="D2767" s="35" t="n"/>
    </row>
    <row r="2768">
      <c r="A2768" s="35" t="n"/>
      <c r="B2768" s="35" t="n"/>
      <c r="C2768" s="35" t="n"/>
      <c r="D2768" s="35" t="n"/>
    </row>
    <row r="2769">
      <c r="A2769" s="35" t="n"/>
      <c r="B2769" s="35" t="n"/>
      <c r="C2769" s="35" t="n"/>
      <c r="D2769" s="35" t="n"/>
    </row>
    <row r="2770">
      <c r="A2770" s="35" t="n"/>
      <c r="B2770" s="35" t="n"/>
      <c r="C2770" s="35" t="n"/>
      <c r="D2770" s="35" t="n"/>
    </row>
    <row r="2771">
      <c r="A2771" s="35" t="n"/>
      <c r="B2771" s="35" t="n"/>
      <c r="C2771" s="35" t="n"/>
      <c r="D2771" s="35" t="n"/>
    </row>
    <row r="2772">
      <c r="A2772" s="35" t="n"/>
      <c r="B2772" s="35" t="n"/>
      <c r="C2772" s="35" t="n"/>
      <c r="D2772" s="35" t="n"/>
    </row>
    <row r="2773">
      <c r="A2773" s="35" t="n"/>
      <c r="B2773" s="35" t="n"/>
      <c r="C2773" s="35" t="n"/>
      <c r="D2773" s="35" t="n"/>
    </row>
    <row r="2774">
      <c r="A2774" s="35" t="n"/>
      <c r="B2774" s="35" t="n"/>
      <c r="C2774" s="35" t="n"/>
      <c r="D2774" s="35" t="n"/>
    </row>
    <row r="2775">
      <c r="A2775" s="35" t="n"/>
      <c r="B2775" s="35" t="n"/>
      <c r="C2775" s="35" t="n"/>
      <c r="D2775" s="35" t="n"/>
    </row>
    <row r="2776">
      <c r="A2776" s="35" t="n"/>
      <c r="B2776" s="35" t="n"/>
      <c r="C2776" s="35" t="n"/>
      <c r="D2776" s="35" t="n"/>
    </row>
    <row r="2777">
      <c r="A2777" s="35" t="n"/>
      <c r="B2777" s="35" t="n"/>
      <c r="C2777" s="35" t="n"/>
      <c r="D2777" s="35" t="n"/>
    </row>
    <row r="2778">
      <c r="A2778" s="35" t="n"/>
      <c r="B2778" s="35" t="n"/>
      <c r="C2778" s="35" t="n"/>
      <c r="D2778" s="35" t="n"/>
    </row>
    <row r="2779">
      <c r="A2779" s="35" t="n"/>
      <c r="B2779" s="35" t="n"/>
      <c r="C2779" s="35" t="n"/>
      <c r="D2779" s="35" t="n"/>
    </row>
    <row r="2780">
      <c r="A2780" s="35" t="n"/>
      <c r="B2780" s="35" t="n"/>
      <c r="C2780" s="35" t="n"/>
      <c r="D2780" s="35" t="n"/>
    </row>
    <row r="2781">
      <c r="A2781" s="35" t="n"/>
      <c r="B2781" s="35" t="n"/>
      <c r="C2781" s="35" t="n"/>
      <c r="D2781" s="35" t="n"/>
    </row>
    <row r="2782">
      <c r="A2782" s="35" t="n"/>
      <c r="B2782" s="35" t="n"/>
      <c r="C2782" s="35" t="n"/>
      <c r="D2782" s="35" t="n"/>
    </row>
    <row r="2783">
      <c r="A2783" s="35" t="n"/>
      <c r="B2783" s="35" t="n"/>
      <c r="C2783" s="35" t="n"/>
      <c r="D2783" s="35" t="n"/>
    </row>
    <row r="2784">
      <c r="A2784" s="35" t="n"/>
      <c r="B2784" s="35" t="n"/>
      <c r="C2784" s="35" t="n"/>
      <c r="D2784" s="35" t="n"/>
    </row>
    <row r="2785">
      <c r="A2785" s="35" t="n"/>
      <c r="B2785" s="35" t="n"/>
      <c r="C2785" s="35" t="n"/>
      <c r="D2785" s="35" t="n"/>
    </row>
    <row r="2786">
      <c r="A2786" s="35" t="n"/>
      <c r="B2786" s="35" t="n"/>
      <c r="C2786" s="35" t="n"/>
      <c r="D2786" s="35" t="n"/>
    </row>
    <row r="2787">
      <c r="A2787" s="35" t="n"/>
      <c r="B2787" s="35" t="n"/>
      <c r="C2787" s="35" t="n"/>
      <c r="D2787" s="35" t="n"/>
    </row>
    <row r="2788">
      <c r="A2788" s="35" t="n"/>
      <c r="B2788" s="35" t="n"/>
      <c r="C2788" s="35" t="n"/>
      <c r="D2788" s="35" t="n"/>
    </row>
    <row r="2789">
      <c r="A2789" s="35" t="n"/>
      <c r="B2789" s="35" t="n"/>
      <c r="C2789" s="35" t="n"/>
      <c r="D2789" s="35" t="n"/>
    </row>
    <row r="2790">
      <c r="A2790" s="35" t="n"/>
      <c r="B2790" s="35" t="n"/>
      <c r="C2790" s="35" t="n"/>
      <c r="D2790" s="35" t="n"/>
    </row>
    <row r="2791">
      <c r="A2791" s="35" t="n"/>
      <c r="B2791" s="35" t="n"/>
      <c r="C2791" s="35" t="n"/>
      <c r="D2791" s="35" t="n"/>
    </row>
    <row r="2792">
      <c r="A2792" s="35" t="n"/>
      <c r="B2792" s="35" t="n"/>
      <c r="C2792" s="35" t="n"/>
      <c r="D2792" s="35" t="n"/>
    </row>
    <row r="2793">
      <c r="A2793" s="35" t="n"/>
      <c r="B2793" s="35" t="n"/>
      <c r="C2793" s="35" t="n"/>
      <c r="D2793" s="35" t="n"/>
    </row>
    <row r="2794">
      <c r="A2794" s="35" t="n"/>
      <c r="B2794" s="35" t="n"/>
      <c r="C2794" s="35" t="n"/>
      <c r="D2794" s="35" t="n"/>
    </row>
    <row r="2795">
      <c r="A2795" s="35" t="n"/>
      <c r="B2795" s="35" t="n"/>
      <c r="C2795" s="35" t="n"/>
      <c r="D2795" s="35" t="n"/>
    </row>
    <row r="2796">
      <c r="A2796" s="35" t="n"/>
      <c r="B2796" s="35" t="n"/>
      <c r="C2796" s="35" t="n"/>
      <c r="D2796" s="35" t="n"/>
    </row>
    <row r="2797">
      <c r="A2797" s="35" t="n"/>
      <c r="B2797" s="35" t="n"/>
      <c r="C2797" s="35" t="n"/>
      <c r="D2797" s="35" t="n"/>
    </row>
    <row r="2798">
      <c r="A2798" s="35" t="n"/>
      <c r="B2798" s="35" t="n"/>
      <c r="C2798" s="35" t="n"/>
      <c r="D2798" s="35" t="n"/>
    </row>
    <row r="2799">
      <c r="A2799" s="35" t="n"/>
      <c r="B2799" s="35" t="n"/>
      <c r="C2799" s="35" t="n"/>
      <c r="D2799" s="35" t="n"/>
    </row>
    <row r="2800">
      <c r="A2800" s="35" t="n"/>
      <c r="B2800" s="35" t="n"/>
      <c r="C2800" s="35" t="n"/>
      <c r="D2800" s="35" t="n"/>
    </row>
    <row r="2801">
      <c r="A2801" s="35" t="n"/>
      <c r="B2801" s="35" t="n"/>
      <c r="C2801" s="35" t="n"/>
      <c r="D2801" s="35" t="n"/>
    </row>
    <row r="2802">
      <c r="A2802" s="35" t="n"/>
      <c r="B2802" s="35" t="n"/>
      <c r="C2802" s="35" t="n"/>
      <c r="D2802" s="35" t="n"/>
    </row>
    <row r="2803">
      <c r="A2803" s="35" t="n"/>
      <c r="B2803" s="35" t="n"/>
      <c r="C2803" s="35" t="n"/>
      <c r="D2803" s="35" t="n"/>
    </row>
    <row r="2804">
      <c r="A2804" s="35" t="n"/>
      <c r="B2804" s="35" t="n"/>
      <c r="C2804" s="35" t="n"/>
      <c r="D2804" s="35" t="n"/>
    </row>
    <row r="2805">
      <c r="A2805" s="35" t="n"/>
      <c r="B2805" s="35" t="n"/>
      <c r="C2805" s="35" t="n"/>
      <c r="D2805" s="35" t="n"/>
    </row>
    <row r="2806">
      <c r="A2806" s="35" t="n"/>
      <c r="B2806" s="35" t="n"/>
      <c r="C2806" s="35" t="n"/>
      <c r="D2806" s="35" t="n"/>
    </row>
    <row r="2807">
      <c r="A2807" s="35" t="n"/>
      <c r="B2807" s="35" t="n"/>
      <c r="C2807" s="35" t="n"/>
      <c r="D2807" s="35" t="n"/>
    </row>
    <row r="2808">
      <c r="A2808" s="35" t="n"/>
      <c r="B2808" s="35" t="n"/>
      <c r="C2808" s="35" t="n"/>
      <c r="D2808" s="35" t="n"/>
    </row>
    <row r="2809">
      <c r="A2809" s="35" t="n"/>
      <c r="B2809" s="35" t="n"/>
      <c r="C2809" s="35" t="n"/>
      <c r="D2809" s="35" t="n"/>
    </row>
    <row r="2810">
      <c r="A2810" s="35" t="n"/>
      <c r="B2810" s="35" t="n"/>
      <c r="C2810" s="35" t="n"/>
      <c r="D2810" s="35" t="n"/>
    </row>
    <row r="2811">
      <c r="A2811" s="35" t="n"/>
      <c r="B2811" s="35" t="n"/>
      <c r="C2811" s="35" t="n"/>
      <c r="D2811" s="35" t="n"/>
    </row>
    <row r="2812">
      <c r="A2812" s="35" t="n"/>
      <c r="B2812" s="35" t="n"/>
      <c r="C2812" s="35" t="n"/>
      <c r="D2812" s="35" t="n"/>
    </row>
    <row r="2813">
      <c r="A2813" s="35" t="n"/>
      <c r="B2813" s="35" t="n"/>
      <c r="C2813" s="35" t="n"/>
      <c r="D2813" s="35" t="n"/>
    </row>
    <row r="2814">
      <c r="A2814" s="35" t="n"/>
      <c r="B2814" s="35" t="n"/>
      <c r="C2814" s="35" t="n"/>
      <c r="D2814" s="35" t="n"/>
    </row>
    <row r="2815">
      <c r="A2815" s="35" t="n"/>
      <c r="B2815" s="35" t="n"/>
      <c r="C2815" s="35" t="n"/>
      <c r="D2815" s="35" t="n"/>
    </row>
    <row r="2816">
      <c r="A2816" s="35" t="n"/>
      <c r="B2816" s="35" t="n"/>
      <c r="C2816" s="35" t="n"/>
      <c r="D2816" s="35" t="n"/>
    </row>
    <row r="2817">
      <c r="A2817" s="35" t="n"/>
      <c r="B2817" s="35" t="n"/>
      <c r="C2817" s="35" t="n"/>
      <c r="D2817" s="35" t="n"/>
    </row>
    <row r="2818">
      <c r="A2818" s="35" t="n"/>
      <c r="B2818" s="35" t="n"/>
      <c r="C2818" s="35" t="n"/>
      <c r="D2818" s="35" t="n"/>
    </row>
    <row r="2819">
      <c r="A2819" s="35" t="n"/>
      <c r="B2819" s="35" t="n"/>
      <c r="C2819" s="35" t="n"/>
      <c r="D2819" s="35" t="n"/>
    </row>
    <row r="2820">
      <c r="A2820" s="35" t="n"/>
      <c r="B2820" s="35" t="n"/>
      <c r="C2820" s="35" t="n"/>
      <c r="D2820" s="35" t="n"/>
    </row>
    <row r="2821">
      <c r="A2821" s="35" t="n"/>
      <c r="B2821" s="35" t="n"/>
      <c r="C2821" s="35" t="n"/>
      <c r="D2821" s="35" t="n"/>
    </row>
    <row r="2822">
      <c r="A2822" s="35" t="n"/>
      <c r="B2822" s="35" t="n"/>
      <c r="C2822" s="35" t="n"/>
      <c r="D2822" s="35" t="n"/>
    </row>
    <row r="2823">
      <c r="A2823" s="35" t="n"/>
      <c r="B2823" s="35" t="n"/>
      <c r="C2823" s="35" t="n"/>
      <c r="D2823" s="35" t="n"/>
    </row>
    <row r="2824">
      <c r="A2824" s="35" t="n"/>
      <c r="B2824" s="35" t="n"/>
      <c r="C2824" s="35" t="n"/>
      <c r="D2824" s="35" t="n"/>
    </row>
    <row r="2825">
      <c r="A2825" s="35" t="n"/>
      <c r="B2825" s="35" t="n"/>
      <c r="C2825" s="35" t="n"/>
      <c r="D2825" s="35" t="n"/>
    </row>
    <row r="2826">
      <c r="A2826" s="35" t="n"/>
      <c r="B2826" s="35" t="n"/>
      <c r="C2826" s="35" t="n"/>
      <c r="D2826" s="35" t="n"/>
    </row>
    <row r="2827">
      <c r="A2827" s="35" t="n"/>
      <c r="B2827" s="35" t="n"/>
      <c r="C2827" s="35" t="n"/>
      <c r="D2827" s="35" t="n"/>
    </row>
    <row r="2828">
      <c r="A2828" s="35" t="n"/>
      <c r="B2828" s="35" t="n"/>
      <c r="C2828" s="35" t="n"/>
      <c r="D2828" s="35" t="n"/>
    </row>
    <row r="2829">
      <c r="A2829" s="35" t="n"/>
      <c r="B2829" s="35" t="n"/>
      <c r="C2829" s="35" t="n"/>
      <c r="D2829" s="35" t="n"/>
    </row>
    <row r="2830">
      <c r="A2830" s="35" t="n"/>
      <c r="B2830" s="35" t="n"/>
      <c r="C2830" s="35" t="n"/>
      <c r="D2830" s="35" t="n"/>
    </row>
    <row r="2831">
      <c r="A2831" s="35" t="n"/>
      <c r="B2831" s="35" t="n"/>
      <c r="C2831" s="35" t="n"/>
      <c r="D2831" s="35" t="n"/>
    </row>
    <row r="2832">
      <c r="A2832" s="35" t="n"/>
      <c r="B2832" s="35" t="n"/>
      <c r="C2832" s="35" t="n"/>
      <c r="D2832" s="35" t="n"/>
    </row>
    <row r="2833">
      <c r="A2833" s="35" t="n"/>
      <c r="B2833" s="35" t="n"/>
      <c r="C2833" s="35" t="n"/>
      <c r="D2833" s="35" t="n"/>
    </row>
    <row r="2834">
      <c r="A2834" s="35" t="n"/>
      <c r="B2834" s="35" t="n"/>
      <c r="C2834" s="35" t="n"/>
      <c r="D2834" s="35" t="n"/>
    </row>
    <row r="2835">
      <c r="A2835" s="35" t="n"/>
      <c r="B2835" s="35" t="n"/>
      <c r="C2835" s="35" t="n"/>
      <c r="D2835" s="35" t="n"/>
    </row>
    <row r="2836">
      <c r="A2836" s="35" t="n"/>
      <c r="B2836" s="35" t="n"/>
      <c r="C2836" s="35" t="n"/>
      <c r="D2836" s="35" t="n"/>
    </row>
    <row r="2837">
      <c r="A2837" s="35" t="n"/>
      <c r="B2837" s="35" t="n"/>
      <c r="C2837" s="35" t="n"/>
      <c r="D2837" s="35" t="n"/>
    </row>
    <row r="2838">
      <c r="A2838" s="35" t="n"/>
      <c r="B2838" s="35" t="n"/>
      <c r="C2838" s="35" t="n"/>
      <c r="D2838" s="35" t="n"/>
    </row>
    <row r="2839">
      <c r="A2839" s="35" t="n"/>
      <c r="B2839" s="35" t="n"/>
      <c r="C2839" s="35" t="n"/>
      <c r="D2839" s="35" t="n"/>
    </row>
    <row r="2840">
      <c r="A2840" s="35" t="n"/>
      <c r="B2840" s="35" t="n"/>
      <c r="C2840" s="35" t="n"/>
      <c r="D2840" s="35" t="n"/>
    </row>
    <row r="2841">
      <c r="A2841" s="35" t="n"/>
      <c r="B2841" s="35" t="n"/>
      <c r="C2841" s="35" t="n"/>
      <c r="D2841" s="35" t="n"/>
    </row>
    <row r="2842">
      <c r="A2842" s="35" t="n"/>
      <c r="B2842" s="35" t="n"/>
      <c r="C2842" s="35" t="n"/>
      <c r="D2842" s="35" t="n"/>
    </row>
    <row r="2843">
      <c r="A2843" s="35" t="n"/>
      <c r="B2843" s="35" t="n"/>
      <c r="C2843" s="35" t="n"/>
      <c r="D2843" s="35" t="n"/>
    </row>
    <row r="2844">
      <c r="A2844" s="35" t="n"/>
      <c r="B2844" s="35" t="n"/>
      <c r="C2844" s="35" t="n"/>
      <c r="D2844" s="35" t="n"/>
    </row>
    <row r="2845">
      <c r="A2845" s="35" t="n"/>
      <c r="B2845" s="35" t="n"/>
      <c r="C2845" s="35" t="n"/>
      <c r="D2845" s="35" t="n"/>
    </row>
    <row r="2846">
      <c r="A2846" s="35" t="n"/>
      <c r="B2846" s="35" t="n"/>
      <c r="C2846" s="35" t="n"/>
      <c r="D2846" s="35" t="n"/>
    </row>
    <row r="2847">
      <c r="A2847" s="35" t="n"/>
      <c r="B2847" s="35" t="n"/>
      <c r="C2847" s="35" t="n"/>
      <c r="D2847" s="35" t="n"/>
    </row>
    <row r="2848">
      <c r="A2848" s="35" t="n"/>
      <c r="B2848" s="35" t="n"/>
      <c r="C2848" s="35" t="n"/>
      <c r="D2848" s="35" t="n"/>
    </row>
    <row r="2849">
      <c r="A2849" s="35" t="n"/>
      <c r="B2849" s="35" t="n"/>
      <c r="C2849" s="35" t="n"/>
      <c r="D2849" s="35" t="n"/>
    </row>
    <row r="2850">
      <c r="A2850" s="35" t="n"/>
      <c r="B2850" s="35" t="n"/>
      <c r="C2850" s="35" t="n"/>
      <c r="D2850" s="35" t="n"/>
    </row>
    <row r="2851">
      <c r="A2851" s="35" t="n"/>
      <c r="B2851" s="35" t="n"/>
      <c r="C2851" s="35" t="n"/>
      <c r="D2851" s="35" t="n"/>
    </row>
    <row r="2852">
      <c r="A2852" s="35" t="n"/>
      <c r="B2852" s="35" t="n"/>
      <c r="C2852" s="35" t="n"/>
      <c r="D2852" s="35" t="n"/>
    </row>
    <row r="2853">
      <c r="A2853" s="35" t="n"/>
      <c r="B2853" s="35" t="n"/>
      <c r="C2853" s="35" t="n"/>
      <c r="D2853" s="35" t="n"/>
    </row>
    <row r="2854">
      <c r="A2854" s="35" t="n"/>
      <c r="B2854" s="35" t="n"/>
      <c r="C2854" s="35" t="n"/>
      <c r="D2854" s="35" t="n"/>
    </row>
    <row r="2855">
      <c r="A2855" s="35" t="n"/>
      <c r="B2855" s="35" t="n"/>
      <c r="C2855" s="35" t="n"/>
      <c r="D2855" s="35" t="n"/>
    </row>
    <row r="2856">
      <c r="A2856" s="35" t="n"/>
      <c r="B2856" s="35" t="n"/>
      <c r="C2856" s="35" t="n"/>
      <c r="D2856" s="35" t="n"/>
    </row>
    <row r="2857">
      <c r="A2857" s="35" t="n"/>
      <c r="B2857" s="35" t="n"/>
      <c r="C2857" s="35" t="n"/>
      <c r="D2857" s="35" t="n"/>
    </row>
    <row r="2858">
      <c r="A2858" s="35" t="n"/>
      <c r="B2858" s="35" t="n"/>
      <c r="C2858" s="35" t="n"/>
      <c r="D2858" s="35" t="n"/>
    </row>
    <row r="2859">
      <c r="A2859" s="35" t="n"/>
      <c r="B2859" s="35" t="n"/>
      <c r="C2859" s="35" t="n"/>
      <c r="D2859" s="35" t="n"/>
    </row>
    <row r="2860">
      <c r="A2860" s="35" t="n"/>
      <c r="B2860" s="35" t="n"/>
      <c r="C2860" s="35" t="n"/>
      <c r="D2860" s="35" t="n"/>
    </row>
    <row r="2861">
      <c r="A2861" s="35" t="n"/>
      <c r="B2861" s="35" t="n"/>
      <c r="C2861" s="35" t="n"/>
      <c r="D2861" s="35" t="n"/>
    </row>
    <row r="2862">
      <c r="A2862" s="35" t="n"/>
      <c r="B2862" s="35" t="n"/>
      <c r="C2862" s="35" t="n"/>
      <c r="D2862" s="35" t="n"/>
    </row>
    <row r="2863">
      <c r="A2863" s="35" t="n"/>
      <c r="B2863" s="35" t="n"/>
      <c r="C2863" s="35" t="n"/>
      <c r="D2863" s="35" t="n"/>
    </row>
    <row r="2864">
      <c r="A2864" s="35" t="n"/>
      <c r="B2864" s="35" t="n"/>
      <c r="C2864" s="35" t="n"/>
      <c r="D2864" s="35" t="n"/>
    </row>
    <row r="2865">
      <c r="A2865" s="35" t="n"/>
      <c r="B2865" s="35" t="n"/>
      <c r="C2865" s="35" t="n"/>
      <c r="D2865" s="35" t="n"/>
    </row>
    <row r="2866">
      <c r="A2866" s="35" t="n"/>
      <c r="B2866" s="35" t="n"/>
      <c r="C2866" s="35" t="n"/>
      <c r="D2866" s="35" t="n"/>
    </row>
    <row r="2867">
      <c r="A2867" s="35" t="n"/>
      <c r="B2867" s="35" t="n"/>
      <c r="C2867" s="35" t="n"/>
      <c r="D2867" s="35" t="n"/>
    </row>
    <row r="2868">
      <c r="A2868" s="35" t="n"/>
      <c r="B2868" s="35" t="n"/>
      <c r="C2868" s="35" t="n"/>
      <c r="D2868" s="35" t="n"/>
    </row>
    <row r="2869">
      <c r="A2869" s="35" t="n"/>
      <c r="B2869" s="35" t="n"/>
      <c r="C2869" s="35" t="n"/>
      <c r="D2869" s="35" t="n"/>
    </row>
    <row r="2870">
      <c r="A2870" s="35" t="n"/>
      <c r="B2870" s="35" t="n"/>
      <c r="C2870" s="35" t="n"/>
      <c r="D2870" s="35" t="n"/>
    </row>
    <row r="2871">
      <c r="A2871" s="35" t="n"/>
      <c r="B2871" s="35" t="n"/>
      <c r="C2871" s="35" t="n"/>
      <c r="D2871" s="35" t="n"/>
    </row>
    <row r="2872">
      <c r="A2872" s="35" t="n"/>
      <c r="B2872" s="35" t="n"/>
      <c r="C2872" s="35" t="n"/>
      <c r="D2872" s="35" t="n"/>
    </row>
    <row r="2873">
      <c r="A2873" s="35" t="n"/>
      <c r="B2873" s="35" t="n"/>
      <c r="C2873" s="35" t="n"/>
      <c r="D2873" s="35" t="n"/>
    </row>
    <row r="2874">
      <c r="A2874" s="35" t="n"/>
      <c r="B2874" s="35" t="n"/>
      <c r="C2874" s="35" t="n"/>
      <c r="D2874" s="35" t="n"/>
    </row>
    <row r="2875">
      <c r="A2875" s="35" t="n"/>
      <c r="B2875" s="35" t="n"/>
      <c r="C2875" s="35" t="n"/>
      <c r="D2875" s="35" t="n"/>
    </row>
    <row r="2876">
      <c r="A2876" s="35" t="n"/>
      <c r="B2876" s="35" t="n"/>
      <c r="C2876" s="35" t="n"/>
      <c r="D2876" s="35" t="n"/>
    </row>
    <row r="2877">
      <c r="A2877" s="35" t="n"/>
      <c r="B2877" s="35" t="n"/>
      <c r="C2877" s="35" t="n"/>
      <c r="D2877" s="35" t="n"/>
    </row>
    <row r="2878">
      <c r="A2878" s="35" t="n"/>
      <c r="B2878" s="35" t="n"/>
      <c r="C2878" s="35" t="n"/>
      <c r="D2878" s="35" t="n"/>
    </row>
    <row r="2879">
      <c r="A2879" s="35" t="n"/>
      <c r="B2879" s="35" t="n"/>
      <c r="C2879" s="35" t="n"/>
      <c r="D2879" s="35" t="n"/>
    </row>
    <row r="2880">
      <c r="A2880" s="35" t="n"/>
      <c r="B2880" s="35" t="n"/>
      <c r="C2880" s="35" t="n"/>
      <c r="D2880" s="35" t="n"/>
    </row>
    <row r="2881">
      <c r="A2881" s="35" t="n"/>
      <c r="B2881" s="35" t="n"/>
      <c r="C2881" s="35" t="n"/>
      <c r="D2881" s="35" t="n"/>
    </row>
    <row r="2882">
      <c r="A2882" s="35" t="n"/>
      <c r="B2882" s="35" t="n"/>
      <c r="C2882" s="35" t="n"/>
      <c r="D2882" s="35" t="n"/>
    </row>
    <row r="2883">
      <c r="A2883" s="35" t="n"/>
      <c r="B2883" s="35" t="n"/>
      <c r="C2883" s="35" t="n"/>
      <c r="D2883" s="35" t="n"/>
    </row>
    <row r="2884">
      <c r="A2884" s="35" t="n"/>
      <c r="B2884" s="35" t="n"/>
      <c r="C2884" s="35" t="n"/>
      <c r="D2884" s="35" t="n"/>
    </row>
    <row r="2885">
      <c r="A2885" s="35" t="n"/>
      <c r="B2885" s="35" t="n"/>
      <c r="C2885" s="35" t="n"/>
      <c r="D2885" s="35" t="n"/>
    </row>
    <row r="2886">
      <c r="A2886" s="35" t="n"/>
      <c r="B2886" s="35" t="n"/>
      <c r="C2886" s="35" t="n"/>
      <c r="D2886" s="35" t="n"/>
    </row>
    <row r="2887">
      <c r="A2887" s="35" t="n"/>
      <c r="B2887" s="35" t="n"/>
      <c r="C2887" s="35" t="n"/>
      <c r="D2887" s="35" t="n"/>
    </row>
    <row r="2888">
      <c r="A2888" s="35" t="n"/>
      <c r="B2888" s="35" t="n"/>
      <c r="C2888" s="35" t="n"/>
      <c r="D2888" s="35" t="n"/>
    </row>
    <row r="2889">
      <c r="A2889" s="35" t="n"/>
      <c r="B2889" s="35" t="n"/>
      <c r="C2889" s="35" t="n"/>
      <c r="D2889" s="35" t="n"/>
    </row>
    <row r="2890">
      <c r="A2890" s="35" t="n"/>
      <c r="B2890" s="35" t="n"/>
      <c r="C2890" s="35" t="n"/>
      <c r="D2890" s="35" t="n"/>
    </row>
    <row r="2891">
      <c r="A2891" s="35" t="n"/>
      <c r="B2891" s="35" t="n"/>
      <c r="C2891" s="35" t="n"/>
      <c r="D2891" s="35" t="n"/>
    </row>
    <row r="2892">
      <c r="A2892" s="35" t="n"/>
      <c r="B2892" s="35" t="n"/>
      <c r="C2892" s="35" t="n"/>
      <c r="D2892" s="35" t="n"/>
    </row>
    <row r="2893">
      <c r="A2893" s="35" t="n"/>
      <c r="B2893" s="35" t="n"/>
      <c r="C2893" s="35" t="n"/>
      <c r="D2893" s="35" t="n"/>
    </row>
    <row r="2894">
      <c r="A2894" s="35" t="n"/>
      <c r="B2894" s="35" t="n"/>
      <c r="C2894" s="35" t="n"/>
      <c r="D2894" s="35" t="n"/>
    </row>
    <row r="2895">
      <c r="A2895" s="35" t="n"/>
      <c r="B2895" s="35" t="n"/>
      <c r="C2895" s="35" t="n"/>
      <c r="D2895" s="35" t="n"/>
    </row>
    <row r="2896">
      <c r="A2896" s="35" t="n"/>
      <c r="B2896" s="35" t="n"/>
      <c r="C2896" s="35" t="n"/>
      <c r="D2896" s="35" t="n"/>
    </row>
    <row r="2897">
      <c r="A2897" s="35" t="n"/>
      <c r="B2897" s="35" t="n"/>
      <c r="C2897" s="35" t="n"/>
      <c r="D2897" s="35" t="n"/>
    </row>
    <row r="2898">
      <c r="A2898" s="35" t="n"/>
      <c r="B2898" s="35" t="n"/>
      <c r="C2898" s="35" t="n"/>
      <c r="D2898" s="35" t="n"/>
    </row>
    <row r="2899">
      <c r="A2899" s="35" t="n"/>
      <c r="B2899" s="35" t="n"/>
      <c r="C2899" s="35" t="n"/>
      <c r="D2899" s="35" t="n"/>
    </row>
    <row r="2900">
      <c r="A2900" s="35" t="n"/>
      <c r="B2900" s="35" t="n"/>
      <c r="C2900" s="35" t="n"/>
      <c r="D2900" s="35" t="n"/>
    </row>
    <row r="2901">
      <c r="A2901" s="35" t="n"/>
      <c r="B2901" s="35" t="n"/>
      <c r="C2901" s="35" t="n"/>
      <c r="D2901" s="35" t="n"/>
    </row>
    <row r="2902">
      <c r="A2902" s="35" t="n"/>
      <c r="B2902" s="35" t="n"/>
      <c r="C2902" s="35" t="n"/>
      <c r="D2902" s="35" t="n"/>
    </row>
    <row r="2903">
      <c r="A2903" s="35" t="n"/>
      <c r="B2903" s="35" t="n"/>
      <c r="C2903" s="35" t="n"/>
      <c r="D2903" s="35" t="n"/>
    </row>
    <row r="2904">
      <c r="A2904" s="35" t="n"/>
      <c r="B2904" s="35" t="n"/>
      <c r="C2904" s="35" t="n"/>
      <c r="D2904" s="35" t="n"/>
    </row>
    <row r="2905">
      <c r="A2905" s="35" t="n"/>
      <c r="B2905" s="35" t="n"/>
      <c r="C2905" s="35" t="n"/>
      <c r="D2905" s="35" t="n"/>
    </row>
    <row r="2906">
      <c r="A2906" s="35" t="n"/>
      <c r="B2906" s="35" t="n"/>
      <c r="C2906" s="35" t="n"/>
      <c r="D2906" s="35" t="n"/>
    </row>
    <row r="2907">
      <c r="A2907" s="35" t="n"/>
      <c r="B2907" s="35" t="n"/>
      <c r="C2907" s="35" t="n"/>
      <c r="D2907" s="35" t="n"/>
    </row>
    <row r="2908">
      <c r="A2908" s="35" t="n"/>
      <c r="B2908" s="35" t="n"/>
      <c r="C2908" s="35" t="n"/>
      <c r="D2908" s="35" t="n"/>
    </row>
    <row r="2909">
      <c r="A2909" s="35" t="n"/>
      <c r="B2909" s="35" t="n"/>
      <c r="C2909" s="35" t="n"/>
      <c r="D2909" s="35" t="n"/>
    </row>
    <row r="2910">
      <c r="A2910" s="35" t="n"/>
      <c r="B2910" s="35" t="n"/>
      <c r="C2910" s="35" t="n"/>
      <c r="D2910" s="35" t="n"/>
    </row>
    <row r="2911">
      <c r="A2911" s="35" t="n"/>
      <c r="B2911" s="35" t="n"/>
      <c r="C2911" s="35" t="n"/>
      <c r="D2911" s="35" t="n"/>
    </row>
    <row r="2912">
      <c r="A2912" s="35" t="n"/>
      <c r="B2912" s="35" t="n"/>
      <c r="C2912" s="35" t="n"/>
      <c r="D2912" s="35" t="n"/>
    </row>
    <row r="2913">
      <c r="A2913" s="35" t="n"/>
      <c r="B2913" s="35" t="n"/>
      <c r="C2913" s="35" t="n"/>
      <c r="D2913" s="35" t="n"/>
    </row>
    <row r="2914">
      <c r="A2914" s="35" t="n"/>
      <c r="B2914" s="35" t="n"/>
      <c r="C2914" s="35" t="n"/>
      <c r="D2914" s="35" t="n"/>
    </row>
    <row r="2915">
      <c r="A2915" s="35" t="n"/>
      <c r="B2915" s="35" t="n"/>
      <c r="C2915" s="35" t="n"/>
      <c r="D2915" s="35" t="n"/>
    </row>
    <row r="2916">
      <c r="A2916" s="35" t="n"/>
      <c r="B2916" s="35" t="n"/>
      <c r="C2916" s="35" t="n"/>
      <c r="D2916" s="35" t="n"/>
    </row>
    <row r="2917">
      <c r="A2917" s="35" t="n"/>
      <c r="B2917" s="35" t="n"/>
      <c r="C2917" s="35" t="n"/>
      <c r="D2917" s="35" t="n"/>
    </row>
    <row r="2918">
      <c r="A2918" s="35" t="n"/>
      <c r="B2918" s="35" t="n"/>
      <c r="C2918" s="35" t="n"/>
      <c r="D2918" s="35" t="n"/>
    </row>
    <row r="2919">
      <c r="A2919" s="35" t="n"/>
      <c r="B2919" s="35" t="n"/>
      <c r="C2919" s="35" t="n"/>
      <c r="D2919" s="35" t="n"/>
    </row>
    <row r="2920">
      <c r="A2920" s="35" t="n"/>
      <c r="B2920" s="35" t="n"/>
      <c r="C2920" s="35" t="n"/>
      <c r="D2920" s="35" t="n"/>
    </row>
    <row r="2921">
      <c r="A2921" s="35" t="n"/>
      <c r="B2921" s="35" t="n"/>
      <c r="C2921" s="35" t="n"/>
      <c r="D2921" s="35" t="n"/>
    </row>
    <row r="2922">
      <c r="A2922" s="35" t="n"/>
      <c r="B2922" s="35" t="n"/>
      <c r="C2922" s="35" t="n"/>
      <c r="D2922" s="35" t="n"/>
    </row>
    <row r="2923">
      <c r="A2923" s="35" t="n"/>
      <c r="B2923" s="35" t="n"/>
      <c r="C2923" s="35" t="n"/>
      <c r="D2923" s="35" t="n"/>
    </row>
    <row r="2924">
      <c r="A2924" s="35" t="n"/>
      <c r="B2924" s="35" t="n"/>
      <c r="C2924" s="35" t="n"/>
      <c r="D2924" s="35" t="n"/>
    </row>
    <row r="2925">
      <c r="A2925" s="35" t="n"/>
      <c r="B2925" s="35" t="n"/>
      <c r="C2925" s="35" t="n"/>
      <c r="D2925" s="35" t="n"/>
    </row>
    <row r="2926">
      <c r="A2926" s="35" t="n"/>
      <c r="B2926" s="35" t="n"/>
      <c r="C2926" s="35" t="n"/>
      <c r="D2926" s="35" t="n"/>
    </row>
    <row r="2927">
      <c r="A2927" s="35" t="n"/>
      <c r="B2927" s="35" t="n"/>
      <c r="C2927" s="35" t="n"/>
      <c r="D2927" s="35" t="n"/>
    </row>
    <row r="2928">
      <c r="A2928" s="35" t="n"/>
      <c r="B2928" s="35" t="n"/>
      <c r="C2928" s="35" t="n"/>
      <c r="D2928" s="35" t="n"/>
    </row>
    <row r="2929">
      <c r="A2929" s="35" t="n"/>
      <c r="B2929" s="35" t="n"/>
      <c r="C2929" s="35" t="n"/>
      <c r="D2929" s="35" t="n"/>
    </row>
    <row r="2930">
      <c r="A2930" s="35" t="n"/>
      <c r="B2930" s="35" t="n"/>
      <c r="C2930" s="35" t="n"/>
      <c r="D2930" s="35" t="n"/>
    </row>
    <row r="2931">
      <c r="A2931" s="35" t="n"/>
      <c r="B2931" s="35" t="n"/>
      <c r="C2931" s="35" t="n"/>
      <c r="D2931" s="35" t="n"/>
    </row>
    <row r="2932">
      <c r="A2932" s="35" t="n"/>
      <c r="B2932" s="35" t="n"/>
      <c r="C2932" s="35" t="n"/>
      <c r="D2932" s="35" t="n"/>
    </row>
    <row r="2933">
      <c r="A2933" s="35" t="n"/>
      <c r="B2933" s="35" t="n"/>
      <c r="C2933" s="35" t="n"/>
      <c r="D2933" s="35" t="n"/>
    </row>
    <row r="2934">
      <c r="A2934" s="35" t="n"/>
      <c r="B2934" s="35" t="n"/>
      <c r="C2934" s="35" t="n"/>
      <c r="D2934" s="35" t="n"/>
    </row>
    <row r="2935">
      <c r="A2935" s="35" t="n"/>
      <c r="B2935" s="35" t="n"/>
      <c r="C2935" s="35" t="n"/>
      <c r="D2935" s="35" t="n"/>
    </row>
    <row r="2936">
      <c r="A2936" s="35" t="n"/>
      <c r="B2936" s="35" t="n"/>
      <c r="C2936" s="35" t="n"/>
      <c r="D2936" s="35" t="n"/>
    </row>
    <row r="2937">
      <c r="A2937" s="35" t="n"/>
      <c r="B2937" s="35" t="n"/>
      <c r="C2937" s="35" t="n"/>
      <c r="D2937" s="35" t="n"/>
    </row>
    <row r="2938">
      <c r="A2938" s="35" t="n"/>
      <c r="B2938" s="35" t="n"/>
      <c r="C2938" s="35" t="n"/>
      <c r="D2938" s="35" t="n"/>
    </row>
    <row r="2939">
      <c r="A2939" s="35" t="n"/>
      <c r="B2939" s="35" t="n"/>
      <c r="C2939" s="35" t="n"/>
      <c r="D2939" s="35" t="n"/>
    </row>
    <row r="2940">
      <c r="A2940" s="35" t="n"/>
      <c r="B2940" s="35" t="n"/>
      <c r="C2940" s="35" t="n"/>
      <c r="D2940" s="35" t="n"/>
    </row>
    <row r="2941">
      <c r="A2941" s="35" t="n"/>
      <c r="B2941" s="35" t="n"/>
      <c r="C2941" s="35" t="n"/>
      <c r="D2941" s="35" t="n"/>
    </row>
    <row r="2942">
      <c r="A2942" s="35" t="n"/>
      <c r="B2942" s="35" t="n"/>
      <c r="C2942" s="35" t="n"/>
      <c r="D2942" s="35" t="n"/>
    </row>
    <row r="2943">
      <c r="A2943" s="35" t="n"/>
      <c r="B2943" s="35" t="n"/>
      <c r="C2943" s="35" t="n"/>
      <c r="D2943" s="35" t="n"/>
    </row>
    <row r="2944">
      <c r="A2944" s="35" t="n"/>
      <c r="B2944" s="35" t="n"/>
      <c r="C2944" s="35" t="n"/>
      <c r="D2944" s="35" t="n"/>
    </row>
    <row r="2945">
      <c r="A2945" s="35" t="n"/>
      <c r="B2945" s="35" t="n"/>
      <c r="C2945" s="35" t="n"/>
      <c r="D2945" s="35" t="n"/>
    </row>
    <row r="2946">
      <c r="A2946" s="35" t="n"/>
      <c r="B2946" s="35" t="n"/>
      <c r="C2946" s="35" t="n"/>
      <c r="D2946" s="35" t="n"/>
    </row>
    <row r="2947">
      <c r="A2947" s="35" t="n"/>
      <c r="B2947" s="35" t="n"/>
      <c r="C2947" s="35" t="n"/>
      <c r="D2947" s="35" t="n"/>
    </row>
    <row r="2948">
      <c r="A2948" s="35" t="n"/>
      <c r="B2948" s="35" t="n"/>
      <c r="C2948" s="35" t="n"/>
      <c r="D2948" s="35" t="n"/>
    </row>
    <row r="2949">
      <c r="A2949" s="35" t="n"/>
      <c r="B2949" s="35" t="n"/>
      <c r="C2949" s="35" t="n"/>
      <c r="D2949" s="35" t="n"/>
    </row>
    <row r="2950">
      <c r="A2950" s="35" t="n"/>
      <c r="B2950" s="35" t="n"/>
      <c r="C2950" s="35" t="n"/>
      <c r="D2950" s="35" t="n"/>
    </row>
    <row r="2951">
      <c r="A2951" s="35" t="n"/>
      <c r="B2951" s="35" t="n"/>
      <c r="C2951" s="35" t="n"/>
      <c r="D2951" s="35" t="n"/>
    </row>
    <row r="2952">
      <c r="A2952" s="35" t="n"/>
      <c r="B2952" s="35" t="n"/>
      <c r="C2952" s="35" t="n"/>
      <c r="D2952" s="35" t="n"/>
    </row>
    <row r="2953">
      <c r="A2953" s="35" t="n"/>
      <c r="B2953" s="35" t="n"/>
      <c r="C2953" s="35" t="n"/>
      <c r="D2953" s="35" t="n"/>
    </row>
    <row r="2954">
      <c r="A2954" s="35" t="n"/>
      <c r="B2954" s="35" t="n"/>
      <c r="C2954" s="35" t="n"/>
      <c r="D2954" s="35" t="n"/>
    </row>
    <row r="2955">
      <c r="A2955" s="35" t="n"/>
      <c r="B2955" s="35" t="n"/>
      <c r="C2955" s="35" t="n"/>
      <c r="D2955" s="35" t="n"/>
    </row>
    <row r="2956">
      <c r="A2956" s="35" t="n"/>
      <c r="B2956" s="35" t="n"/>
      <c r="C2956" s="35" t="n"/>
      <c r="D2956" s="35" t="n"/>
    </row>
    <row r="2957">
      <c r="A2957" s="35" t="n"/>
      <c r="B2957" s="35" t="n"/>
      <c r="C2957" s="35" t="n"/>
      <c r="D2957" s="35" t="n"/>
    </row>
    <row r="2958">
      <c r="A2958" s="35" t="n"/>
      <c r="B2958" s="35" t="n"/>
      <c r="C2958" s="35" t="n"/>
      <c r="D2958" s="35" t="n"/>
    </row>
    <row r="2959">
      <c r="A2959" s="35" t="n"/>
      <c r="B2959" s="35" t="n"/>
      <c r="C2959" s="35" t="n"/>
      <c r="D2959" s="35" t="n"/>
    </row>
    <row r="2960">
      <c r="A2960" s="35" t="n"/>
      <c r="B2960" s="35" t="n"/>
      <c r="C2960" s="35" t="n"/>
      <c r="D2960" s="35" t="n"/>
    </row>
    <row r="2961">
      <c r="A2961" s="35" t="n"/>
      <c r="B2961" s="35" t="n"/>
      <c r="C2961" s="35" t="n"/>
      <c r="D2961" s="35" t="n"/>
    </row>
    <row r="2962">
      <c r="A2962" s="35" t="n"/>
      <c r="B2962" s="35" t="n"/>
      <c r="C2962" s="35" t="n"/>
      <c r="D2962" s="35" t="n"/>
    </row>
    <row r="2963">
      <c r="A2963" s="35" t="n"/>
      <c r="B2963" s="35" t="n"/>
      <c r="C2963" s="35" t="n"/>
      <c r="D2963" s="35" t="n"/>
    </row>
    <row r="2964">
      <c r="A2964" s="35" t="n"/>
      <c r="B2964" s="35" t="n"/>
      <c r="C2964" s="35" t="n"/>
      <c r="D2964" s="35" t="n"/>
    </row>
    <row r="2965">
      <c r="A2965" s="35" t="n"/>
      <c r="B2965" s="35" t="n"/>
      <c r="C2965" s="35" t="n"/>
      <c r="D2965" s="35" t="n"/>
    </row>
    <row r="2966">
      <c r="A2966" s="35" t="n"/>
      <c r="B2966" s="35" t="n"/>
      <c r="C2966" s="35" t="n"/>
      <c r="D2966" s="35" t="n"/>
    </row>
    <row r="2967">
      <c r="A2967" s="35" t="n"/>
      <c r="B2967" s="35" t="n"/>
      <c r="C2967" s="35" t="n"/>
      <c r="D2967" s="35" t="n"/>
    </row>
    <row r="2968">
      <c r="A2968" s="35" t="n"/>
      <c r="B2968" s="35" t="n"/>
      <c r="C2968" s="35" t="n"/>
      <c r="D2968" s="35" t="n"/>
    </row>
    <row r="2969">
      <c r="A2969" s="35" t="n"/>
      <c r="B2969" s="35" t="n"/>
      <c r="C2969" s="35" t="n"/>
      <c r="D2969" s="35" t="n"/>
    </row>
    <row r="2970">
      <c r="A2970" s="35" t="n"/>
      <c r="B2970" s="35" t="n"/>
      <c r="C2970" s="35" t="n"/>
      <c r="D2970" s="35" t="n"/>
    </row>
    <row r="2971">
      <c r="A2971" s="35" t="n"/>
      <c r="B2971" s="35" t="n"/>
      <c r="C2971" s="35" t="n"/>
      <c r="D2971" s="35" t="n"/>
    </row>
    <row r="2972">
      <c r="A2972" s="35" t="n"/>
      <c r="B2972" s="35" t="n"/>
      <c r="C2972" s="35" t="n"/>
      <c r="D2972" s="35" t="n"/>
    </row>
    <row r="2973">
      <c r="A2973" s="35" t="n"/>
      <c r="B2973" s="35" t="n"/>
      <c r="C2973" s="35" t="n"/>
      <c r="D2973" s="35" t="n"/>
    </row>
    <row r="2974">
      <c r="A2974" s="35" t="n"/>
      <c r="B2974" s="35" t="n"/>
      <c r="C2974" s="35" t="n"/>
      <c r="D2974" s="35" t="n"/>
    </row>
    <row r="2975">
      <c r="A2975" s="35" t="n"/>
      <c r="B2975" s="35" t="n"/>
      <c r="C2975" s="35" t="n"/>
      <c r="D2975" s="35" t="n"/>
    </row>
    <row r="2976">
      <c r="A2976" s="35" t="n"/>
      <c r="B2976" s="35" t="n"/>
      <c r="C2976" s="35" t="n"/>
      <c r="D2976" s="35" t="n"/>
    </row>
    <row r="2977">
      <c r="A2977" s="35" t="n"/>
      <c r="B2977" s="35" t="n"/>
      <c r="C2977" s="35" t="n"/>
      <c r="D2977" s="35" t="n"/>
    </row>
    <row r="2978">
      <c r="A2978" s="35" t="n"/>
      <c r="B2978" s="35" t="n"/>
      <c r="C2978" s="35" t="n"/>
      <c r="D2978" s="35" t="n"/>
    </row>
    <row r="2979">
      <c r="A2979" s="35" t="n"/>
      <c r="B2979" s="35" t="n"/>
      <c r="C2979" s="35" t="n"/>
      <c r="D2979" s="35" t="n"/>
    </row>
    <row r="2980">
      <c r="A2980" s="35" t="n"/>
      <c r="B2980" s="35" t="n"/>
      <c r="C2980" s="35" t="n"/>
      <c r="D2980" s="35" t="n"/>
    </row>
    <row r="2981">
      <c r="A2981" s="35" t="n"/>
      <c r="B2981" s="35" t="n"/>
      <c r="C2981" s="35" t="n"/>
      <c r="D2981" s="35" t="n"/>
    </row>
    <row r="2982">
      <c r="A2982" s="35" t="n"/>
      <c r="B2982" s="35" t="n"/>
      <c r="C2982" s="35" t="n"/>
      <c r="D2982" s="35" t="n"/>
    </row>
    <row r="2983">
      <c r="A2983" s="35" t="n"/>
      <c r="B2983" s="35" t="n"/>
      <c r="C2983" s="35" t="n"/>
      <c r="D2983" s="35" t="n"/>
    </row>
    <row r="2984">
      <c r="A2984" s="35" t="n"/>
      <c r="B2984" s="35" t="n"/>
      <c r="C2984" s="35" t="n"/>
      <c r="D2984" s="35" t="n"/>
    </row>
    <row r="2985">
      <c r="A2985" s="35" t="n"/>
      <c r="B2985" s="35" t="n"/>
      <c r="C2985" s="35" t="n"/>
      <c r="D2985" s="35" t="n"/>
    </row>
    <row r="2986">
      <c r="A2986" s="35" t="n"/>
      <c r="B2986" s="35" t="n"/>
      <c r="C2986" s="35" t="n"/>
      <c r="D2986" s="35" t="n"/>
    </row>
    <row r="2987">
      <c r="A2987" s="35" t="n"/>
      <c r="B2987" s="35" t="n"/>
      <c r="C2987" s="35" t="n"/>
      <c r="D2987" s="35" t="n"/>
    </row>
    <row r="2988">
      <c r="A2988" s="35" t="n"/>
      <c r="B2988" s="35" t="n"/>
      <c r="C2988" s="35" t="n"/>
      <c r="D2988" s="35" t="n"/>
    </row>
    <row r="2989">
      <c r="A2989" s="35" t="n"/>
      <c r="B2989" s="35" t="n"/>
      <c r="C2989" s="35" t="n"/>
      <c r="D2989" s="35" t="n"/>
    </row>
    <row r="2990">
      <c r="A2990" s="35" t="n"/>
      <c r="B2990" s="35" t="n"/>
      <c r="C2990" s="35" t="n"/>
      <c r="D2990" s="35" t="n"/>
    </row>
    <row r="2991">
      <c r="A2991" s="35" t="n"/>
      <c r="B2991" s="35" t="n"/>
      <c r="C2991" s="35" t="n"/>
      <c r="D2991" s="35" t="n"/>
    </row>
    <row r="2992">
      <c r="A2992" s="35" t="n"/>
      <c r="B2992" s="35" t="n"/>
      <c r="C2992" s="35" t="n"/>
      <c r="D2992" s="35" t="n"/>
    </row>
    <row r="2993">
      <c r="A2993" s="35" t="n"/>
      <c r="B2993" s="35" t="n"/>
      <c r="C2993" s="35" t="n"/>
      <c r="D2993" s="35" t="n"/>
    </row>
    <row r="2994">
      <c r="A2994" s="35" t="n"/>
      <c r="B2994" s="35" t="n"/>
      <c r="C2994" s="35" t="n"/>
      <c r="D2994" s="35" t="n"/>
    </row>
    <row r="2995">
      <c r="A2995" s="35" t="n"/>
      <c r="B2995" s="35" t="n"/>
      <c r="C2995" s="35" t="n"/>
      <c r="D2995" s="35" t="n"/>
    </row>
    <row r="2996">
      <c r="A2996" s="35" t="n"/>
      <c r="B2996" s="35" t="n"/>
      <c r="C2996" s="35" t="n"/>
      <c r="D2996" s="35" t="n"/>
    </row>
    <row r="2997">
      <c r="A2997" s="35" t="n"/>
      <c r="B2997" s="35" t="n"/>
      <c r="C2997" s="35" t="n"/>
      <c r="D2997" s="35" t="n"/>
    </row>
    <row r="2998">
      <c r="A2998" s="35" t="n"/>
      <c r="B2998" s="35" t="n"/>
      <c r="C2998" s="35" t="n"/>
      <c r="D2998" s="35" t="n"/>
    </row>
    <row r="2999">
      <c r="A2999" s="35" t="n"/>
      <c r="B2999" s="35" t="n"/>
      <c r="C2999" s="35" t="n"/>
      <c r="D2999" s="35" t="n"/>
    </row>
    <row r="3000">
      <c r="A3000" s="35" t="n"/>
      <c r="B3000" s="35" t="n"/>
      <c r="C3000" s="35" t="n"/>
      <c r="D3000" s="35" t="n"/>
    </row>
    <row r="3001">
      <c r="A3001" s="35" t="n"/>
      <c r="B3001" s="35" t="n"/>
      <c r="C3001" s="35" t="n"/>
      <c r="D3001" s="35" t="n"/>
    </row>
    <row r="3002">
      <c r="A3002" s="35" t="n"/>
      <c r="B3002" s="35" t="n"/>
      <c r="C3002" s="35" t="n"/>
      <c r="D3002" s="35" t="n"/>
    </row>
    <row r="3003">
      <c r="A3003" s="35" t="n"/>
      <c r="B3003" s="35" t="n"/>
      <c r="C3003" s="35" t="n"/>
      <c r="D3003" s="35" t="n"/>
    </row>
    <row r="3004">
      <c r="A3004" s="35" t="n"/>
      <c r="B3004" s="35" t="n"/>
      <c r="C3004" s="35" t="n"/>
      <c r="D3004" s="35" t="n"/>
    </row>
    <row r="3005">
      <c r="A3005" s="35" t="n"/>
      <c r="B3005" s="35" t="n"/>
      <c r="C3005" s="35" t="n"/>
      <c r="D3005" s="35" t="n"/>
    </row>
    <row r="3006">
      <c r="A3006" s="35" t="n"/>
      <c r="B3006" s="35" t="n"/>
      <c r="C3006" s="35" t="n"/>
      <c r="D3006" s="35" t="n"/>
    </row>
    <row r="3007">
      <c r="A3007" s="35" t="n"/>
      <c r="B3007" s="35" t="n"/>
      <c r="C3007" s="35" t="n"/>
      <c r="D3007" s="35" t="n"/>
    </row>
    <row r="3008">
      <c r="A3008" s="35" t="n"/>
      <c r="B3008" s="35" t="n"/>
      <c r="C3008" s="35" t="n"/>
      <c r="D3008" s="35" t="n"/>
    </row>
    <row r="3009">
      <c r="A3009" s="35" t="n"/>
      <c r="B3009" s="35" t="n"/>
      <c r="C3009" s="35" t="n"/>
      <c r="D3009" s="35" t="n"/>
    </row>
    <row r="3010">
      <c r="A3010" s="35" t="n"/>
      <c r="B3010" s="35" t="n"/>
      <c r="C3010" s="35" t="n"/>
      <c r="D3010" s="35" t="n"/>
    </row>
    <row r="3011">
      <c r="A3011" s="35" t="n"/>
      <c r="B3011" s="35" t="n"/>
      <c r="C3011" s="35" t="n"/>
      <c r="D3011" s="35" t="n"/>
    </row>
    <row r="3012">
      <c r="A3012" s="35" t="n"/>
      <c r="B3012" s="35" t="n"/>
      <c r="C3012" s="35" t="n"/>
      <c r="D3012" s="35" t="n"/>
    </row>
    <row r="3013">
      <c r="A3013" s="35" t="n"/>
      <c r="B3013" s="35" t="n"/>
      <c r="C3013" s="35" t="n"/>
      <c r="D3013" s="35" t="n"/>
    </row>
    <row r="3014">
      <c r="A3014" s="35" t="n"/>
      <c r="B3014" s="35" t="n"/>
      <c r="C3014" s="35" t="n"/>
      <c r="D3014" s="35" t="n"/>
    </row>
    <row r="3015">
      <c r="A3015" s="35" t="n"/>
      <c r="B3015" s="35" t="n"/>
      <c r="C3015" s="35" t="n"/>
      <c r="D3015" s="35" t="n"/>
    </row>
    <row r="3016">
      <c r="A3016" s="35" t="n"/>
      <c r="B3016" s="35" t="n"/>
      <c r="C3016" s="35" t="n"/>
      <c r="D3016" s="35" t="n"/>
    </row>
    <row r="3017">
      <c r="A3017" s="35" t="n"/>
      <c r="B3017" s="35" t="n"/>
      <c r="C3017" s="35" t="n"/>
      <c r="D3017" s="35" t="n"/>
    </row>
    <row r="3018">
      <c r="A3018" s="35" t="n"/>
      <c r="B3018" s="35" t="n"/>
      <c r="C3018" s="35" t="n"/>
      <c r="D3018" s="35" t="n"/>
    </row>
    <row r="3019">
      <c r="A3019" s="35" t="n"/>
      <c r="B3019" s="35" t="n"/>
      <c r="C3019" s="35" t="n"/>
      <c r="D3019" s="35" t="n"/>
    </row>
    <row r="3020">
      <c r="A3020" s="35" t="n"/>
      <c r="B3020" s="35" t="n"/>
      <c r="C3020" s="35" t="n"/>
      <c r="D3020" s="35" t="n"/>
    </row>
    <row r="3021">
      <c r="A3021" s="35" t="n"/>
      <c r="B3021" s="35" t="n"/>
      <c r="C3021" s="35" t="n"/>
      <c r="D3021" s="35" t="n"/>
    </row>
    <row r="3022">
      <c r="A3022" s="35" t="n"/>
      <c r="B3022" s="35" t="n"/>
      <c r="C3022" s="35" t="n"/>
      <c r="D3022" s="35" t="n"/>
    </row>
    <row r="3023">
      <c r="A3023" s="35" t="n"/>
      <c r="B3023" s="35" t="n"/>
      <c r="C3023" s="35" t="n"/>
      <c r="D3023" s="35" t="n"/>
    </row>
    <row r="3024">
      <c r="A3024" s="35" t="n"/>
      <c r="B3024" s="35" t="n"/>
      <c r="C3024" s="35" t="n"/>
      <c r="D3024" s="35" t="n"/>
    </row>
    <row r="3025">
      <c r="A3025" s="35" t="n"/>
      <c r="B3025" s="35" t="n"/>
      <c r="C3025" s="35" t="n"/>
      <c r="D3025" s="35" t="n"/>
    </row>
    <row r="3026">
      <c r="A3026" s="35" t="n"/>
      <c r="B3026" s="35" t="n"/>
      <c r="C3026" s="35" t="n"/>
      <c r="D3026" s="35" t="n"/>
    </row>
    <row r="3027">
      <c r="A3027" s="35" t="n"/>
      <c r="B3027" s="35" t="n"/>
      <c r="C3027" s="35" t="n"/>
      <c r="D3027" s="35" t="n"/>
    </row>
    <row r="3028">
      <c r="A3028" s="35" t="n"/>
      <c r="B3028" s="35" t="n"/>
      <c r="C3028" s="35" t="n"/>
      <c r="D3028" s="35" t="n"/>
    </row>
    <row r="3029">
      <c r="A3029" s="35" t="n"/>
      <c r="B3029" s="35" t="n"/>
      <c r="C3029" s="35" t="n"/>
      <c r="D3029" s="35" t="n"/>
    </row>
    <row r="3030">
      <c r="A3030" s="35" t="n"/>
      <c r="B3030" s="35" t="n"/>
      <c r="C3030" s="35" t="n"/>
      <c r="D3030" s="35" t="n"/>
    </row>
    <row r="3031">
      <c r="A3031" s="35" t="n"/>
      <c r="B3031" s="35" t="n"/>
      <c r="C3031" s="35" t="n"/>
      <c r="D3031" s="35" t="n"/>
    </row>
    <row r="3032">
      <c r="A3032" s="35" t="n"/>
      <c r="B3032" s="35" t="n"/>
      <c r="C3032" s="35" t="n"/>
      <c r="D3032" s="35" t="n"/>
    </row>
    <row r="3033">
      <c r="A3033" s="35" t="n"/>
      <c r="B3033" s="35" t="n"/>
      <c r="C3033" s="35" t="n"/>
      <c r="D3033" s="35" t="n"/>
    </row>
    <row r="3034">
      <c r="A3034" s="35" t="n"/>
      <c r="B3034" s="35" t="n"/>
      <c r="C3034" s="35" t="n"/>
      <c r="D3034" s="35" t="n"/>
    </row>
    <row r="3035">
      <c r="A3035" s="35" t="n"/>
      <c r="B3035" s="35" t="n"/>
      <c r="C3035" s="35" t="n"/>
      <c r="D3035" s="35" t="n"/>
    </row>
    <row r="3036">
      <c r="A3036" s="35" t="n"/>
      <c r="B3036" s="35" t="n"/>
      <c r="C3036" s="35" t="n"/>
      <c r="D3036" s="35" t="n"/>
    </row>
    <row r="3037">
      <c r="A3037" s="35" t="n"/>
      <c r="B3037" s="35" t="n"/>
      <c r="C3037" s="35" t="n"/>
      <c r="D3037" s="35" t="n"/>
    </row>
    <row r="3038">
      <c r="A3038" s="35" t="n"/>
      <c r="B3038" s="35" t="n"/>
      <c r="C3038" s="35" t="n"/>
      <c r="D3038" s="35" t="n"/>
    </row>
    <row r="3039">
      <c r="A3039" s="35" t="n"/>
      <c r="B3039" s="35" t="n"/>
      <c r="C3039" s="35" t="n"/>
      <c r="D3039" s="35" t="n"/>
    </row>
    <row r="3040">
      <c r="A3040" s="35" t="n"/>
      <c r="B3040" s="35" t="n"/>
      <c r="C3040" s="35" t="n"/>
      <c r="D3040" s="35" t="n"/>
    </row>
    <row r="3041">
      <c r="A3041" s="35" t="n"/>
      <c r="B3041" s="35" t="n"/>
      <c r="C3041" s="35" t="n"/>
      <c r="D3041" s="35" t="n"/>
    </row>
    <row r="3042">
      <c r="A3042" s="35" t="n"/>
      <c r="B3042" s="35" t="n"/>
      <c r="C3042" s="35" t="n"/>
      <c r="D3042" s="35" t="n"/>
    </row>
    <row r="3043">
      <c r="A3043" s="35" t="n"/>
      <c r="B3043" s="35" t="n"/>
      <c r="C3043" s="35" t="n"/>
      <c r="D3043" s="35" t="n"/>
    </row>
    <row r="3044">
      <c r="A3044" s="35" t="n"/>
      <c r="B3044" s="35" t="n"/>
      <c r="C3044" s="35" t="n"/>
      <c r="D3044" s="35" t="n"/>
    </row>
    <row r="3045">
      <c r="A3045" s="35" t="n"/>
      <c r="B3045" s="35" t="n"/>
      <c r="C3045" s="35" t="n"/>
      <c r="D3045" s="35" t="n"/>
    </row>
    <row r="3046">
      <c r="A3046" s="35" t="n"/>
      <c r="B3046" s="35" t="n"/>
      <c r="C3046" s="35" t="n"/>
      <c r="D3046" s="35" t="n"/>
    </row>
    <row r="3047">
      <c r="A3047" s="35" t="n"/>
      <c r="B3047" s="35" t="n"/>
      <c r="C3047" s="35" t="n"/>
      <c r="D3047" s="35" t="n"/>
    </row>
    <row r="3048">
      <c r="A3048" s="35" t="n"/>
      <c r="B3048" s="35" t="n"/>
      <c r="C3048" s="35" t="n"/>
      <c r="D3048" s="35" t="n"/>
    </row>
    <row r="3049">
      <c r="A3049" s="35" t="n"/>
      <c r="B3049" s="35" t="n"/>
      <c r="C3049" s="35" t="n"/>
      <c r="D3049" s="35" t="n"/>
    </row>
    <row r="3050">
      <c r="A3050" s="35" t="n"/>
      <c r="B3050" s="35" t="n"/>
      <c r="C3050" s="35" t="n"/>
      <c r="D3050" s="35" t="n"/>
    </row>
    <row r="3051">
      <c r="A3051" s="35" t="n"/>
      <c r="B3051" s="35" t="n"/>
      <c r="C3051" s="35" t="n"/>
      <c r="D3051" s="35" t="n"/>
    </row>
    <row r="3052">
      <c r="A3052" s="35" t="n"/>
      <c r="B3052" s="35" t="n"/>
      <c r="C3052" s="35" t="n"/>
      <c r="D3052" s="35" t="n"/>
    </row>
    <row r="3053">
      <c r="A3053" s="35" t="n"/>
      <c r="B3053" s="35" t="n"/>
      <c r="C3053" s="35" t="n"/>
      <c r="D3053" s="35" t="n"/>
    </row>
    <row r="3054">
      <c r="A3054" s="35" t="n"/>
      <c r="B3054" s="35" t="n"/>
      <c r="C3054" s="35" t="n"/>
      <c r="D3054" s="35" t="n"/>
    </row>
    <row r="3055">
      <c r="A3055" s="35" t="n"/>
      <c r="B3055" s="35" t="n"/>
      <c r="C3055" s="35" t="n"/>
      <c r="D3055" s="35" t="n"/>
    </row>
    <row r="3056">
      <c r="A3056" s="35" t="n"/>
      <c r="B3056" s="35" t="n"/>
      <c r="C3056" s="35" t="n"/>
      <c r="D3056" s="35" t="n"/>
    </row>
    <row r="3057">
      <c r="A3057" s="35" t="n"/>
      <c r="B3057" s="35" t="n"/>
      <c r="C3057" s="35" t="n"/>
      <c r="D3057" s="35" t="n"/>
    </row>
    <row r="3058">
      <c r="A3058" s="35" t="n"/>
      <c r="B3058" s="35" t="n"/>
      <c r="C3058" s="35" t="n"/>
      <c r="D3058" s="35" t="n"/>
    </row>
    <row r="3059">
      <c r="A3059" s="35" t="n"/>
      <c r="B3059" s="35" t="n"/>
      <c r="C3059" s="35" t="n"/>
      <c r="D3059" s="35" t="n"/>
    </row>
    <row r="3060">
      <c r="A3060" s="35" t="n"/>
      <c r="B3060" s="35" t="n"/>
      <c r="C3060" s="35" t="n"/>
      <c r="D3060" s="35" t="n"/>
    </row>
    <row r="3061">
      <c r="A3061" s="35" t="n"/>
      <c r="B3061" s="35" t="n"/>
      <c r="C3061" s="35" t="n"/>
      <c r="D3061" s="35" t="n"/>
    </row>
    <row r="3062">
      <c r="A3062" s="35" t="n"/>
      <c r="B3062" s="35" t="n"/>
      <c r="C3062" s="35" t="n"/>
      <c r="D3062" s="35" t="n"/>
    </row>
    <row r="3063">
      <c r="A3063" s="35" t="n"/>
      <c r="B3063" s="35" t="n"/>
      <c r="C3063" s="35" t="n"/>
      <c r="D3063" s="35" t="n"/>
    </row>
    <row r="3064">
      <c r="A3064" s="35" t="n"/>
      <c r="B3064" s="35" t="n"/>
      <c r="C3064" s="35" t="n"/>
      <c r="D3064" s="35" t="n"/>
    </row>
    <row r="3065">
      <c r="A3065" s="35" t="n"/>
      <c r="B3065" s="35" t="n"/>
      <c r="C3065" s="35" t="n"/>
      <c r="D3065" s="35" t="n"/>
    </row>
    <row r="3066">
      <c r="A3066" s="35" t="n"/>
      <c r="B3066" s="35" t="n"/>
      <c r="C3066" s="35" t="n"/>
      <c r="D3066" s="35" t="n"/>
    </row>
    <row r="3067">
      <c r="A3067" s="35" t="n"/>
      <c r="B3067" s="35" t="n"/>
      <c r="C3067" s="35" t="n"/>
      <c r="D3067" s="35" t="n"/>
    </row>
    <row r="3068">
      <c r="A3068" s="35" t="n"/>
      <c r="B3068" s="35" t="n"/>
      <c r="C3068" s="35" t="n"/>
      <c r="D3068" s="35" t="n"/>
    </row>
    <row r="3069">
      <c r="A3069" s="35" t="n"/>
      <c r="B3069" s="35" t="n"/>
      <c r="C3069" s="35" t="n"/>
      <c r="D3069" s="35" t="n"/>
    </row>
    <row r="3070">
      <c r="A3070" s="35" t="n"/>
      <c r="B3070" s="35" t="n"/>
      <c r="C3070" s="35" t="n"/>
      <c r="D3070" s="35" t="n"/>
    </row>
    <row r="3071">
      <c r="A3071" s="35" t="n"/>
      <c r="B3071" s="35" t="n"/>
      <c r="C3071" s="35" t="n"/>
      <c r="D3071" s="35" t="n"/>
    </row>
    <row r="3072">
      <c r="A3072" s="35" t="n"/>
      <c r="B3072" s="35" t="n"/>
      <c r="C3072" s="35" t="n"/>
      <c r="D3072" s="35" t="n"/>
    </row>
    <row r="3073">
      <c r="A3073" s="35" t="n"/>
      <c r="B3073" s="35" t="n"/>
      <c r="C3073" s="35" t="n"/>
      <c r="D3073" s="35" t="n"/>
    </row>
    <row r="3074">
      <c r="A3074" s="35" t="n"/>
      <c r="B3074" s="35" t="n"/>
      <c r="C3074" s="35" t="n"/>
      <c r="D3074" s="35" t="n"/>
    </row>
    <row r="3075">
      <c r="A3075" s="35" t="n"/>
      <c r="B3075" s="35" t="n"/>
      <c r="C3075" s="35" t="n"/>
      <c r="D3075" s="35" t="n"/>
    </row>
    <row r="3076">
      <c r="A3076" s="35" t="n"/>
      <c r="B3076" s="35" t="n"/>
      <c r="C3076" s="35" t="n"/>
      <c r="D3076" s="35" t="n"/>
    </row>
    <row r="3077">
      <c r="A3077" s="35" t="n"/>
      <c r="B3077" s="35" t="n"/>
      <c r="C3077" s="35" t="n"/>
      <c r="D3077" s="35" t="n"/>
    </row>
    <row r="3078">
      <c r="A3078" s="35" t="n"/>
      <c r="B3078" s="35" t="n"/>
      <c r="C3078" s="35" t="n"/>
      <c r="D3078" s="35" t="n"/>
    </row>
    <row r="3079">
      <c r="A3079" s="35" t="n"/>
      <c r="B3079" s="35" t="n"/>
      <c r="C3079" s="35" t="n"/>
      <c r="D3079" s="35" t="n"/>
    </row>
    <row r="3080">
      <c r="A3080" s="35" t="n"/>
      <c r="B3080" s="35" t="n"/>
      <c r="C3080" s="35" t="n"/>
      <c r="D3080" s="35" t="n"/>
    </row>
    <row r="3081">
      <c r="A3081" s="35" t="n"/>
      <c r="B3081" s="35" t="n"/>
      <c r="C3081" s="35" t="n"/>
      <c r="D3081" s="35" t="n"/>
    </row>
    <row r="3082">
      <c r="A3082" s="35" t="n"/>
      <c r="B3082" s="35" t="n"/>
      <c r="C3082" s="35" t="n"/>
      <c r="D3082" s="35" t="n"/>
    </row>
    <row r="3083">
      <c r="A3083" s="35" t="n"/>
      <c r="B3083" s="35" t="n"/>
      <c r="C3083" s="35" t="n"/>
      <c r="D3083" s="35" t="n"/>
    </row>
    <row r="3084">
      <c r="A3084" s="35" t="n"/>
      <c r="B3084" s="35" t="n"/>
      <c r="C3084" s="35" t="n"/>
      <c r="D3084" s="35" t="n"/>
    </row>
    <row r="3085">
      <c r="A3085" s="35" t="n"/>
      <c r="B3085" s="35" t="n"/>
      <c r="C3085" s="35" t="n"/>
      <c r="D3085" s="35" t="n"/>
    </row>
    <row r="3086">
      <c r="A3086" s="35" t="n"/>
      <c r="B3086" s="35" t="n"/>
      <c r="C3086" s="35" t="n"/>
      <c r="D3086" s="35" t="n"/>
    </row>
    <row r="3087">
      <c r="A3087" s="35" t="n"/>
      <c r="B3087" s="35" t="n"/>
      <c r="C3087" s="35" t="n"/>
      <c r="D3087" s="35" t="n"/>
    </row>
    <row r="3088">
      <c r="A3088" s="35" t="n"/>
      <c r="B3088" s="35" t="n"/>
      <c r="C3088" s="35" t="n"/>
      <c r="D3088" s="35" t="n"/>
    </row>
    <row r="3089">
      <c r="A3089" s="35" t="n"/>
      <c r="B3089" s="35" t="n"/>
      <c r="C3089" s="35" t="n"/>
      <c r="D3089" s="35" t="n"/>
    </row>
    <row r="3090">
      <c r="A3090" s="35" t="n"/>
      <c r="B3090" s="35" t="n"/>
      <c r="C3090" s="35" t="n"/>
      <c r="D3090" s="35" t="n"/>
    </row>
    <row r="3091">
      <c r="A3091" s="35" t="n"/>
      <c r="B3091" s="35" t="n"/>
      <c r="C3091" s="35" t="n"/>
      <c r="D3091" s="35" t="n"/>
    </row>
    <row r="3092">
      <c r="A3092" s="35" t="n"/>
      <c r="B3092" s="35" t="n"/>
      <c r="C3092" s="35" t="n"/>
      <c r="D3092" s="35" t="n"/>
    </row>
    <row r="3093">
      <c r="A3093" s="35" t="n"/>
      <c r="B3093" s="35" t="n"/>
      <c r="C3093" s="35" t="n"/>
      <c r="D3093" s="35" t="n"/>
    </row>
    <row r="3094">
      <c r="A3094" s="35" t="n"/>
      <c r="B3094" s="35" t="n"/>
      <c r="C3094" s="35" t="n"/>
      <c r="D3094" s="35" t="n"/>
    </row>
    <row r="3095">
      <c r="A3095" s="35" t="n"/>
      <c r="B3095" s="35" t="n"/>
      <c r="C3095" s="35" t="n"/>
      <c r="D3095" s="35" t="n"/>
    </row>
    <row r="3096">
      <c r="A3096" s="35" t="n"/>
      <c r="B3096" s="35" t="n"/>
      <c r="C3096" s="35" t="n"/>
      <c r="D3096" s="35" t="n"/>
    </row>
    <row r="3097">
      <c r="A3097" s="35" t="n"/>
      <c r="B3097" s="35" t="n"/>
      <c r="C3097" s="35" t="n"/>
      <c r="D3097" s="35" t="n"/>
    </row>
    <row r="3098">
      <c r="A3098" s="35" t="n"/>
      <c r="B3098" s="35" t="n"/>
      <c r="C3098" s="35" t="n"/>
      <c r="D3098" s="35" t="n"/>
    </row>
    <row r="3099">
      <c r="A3099" s="35" t="n"/>
      <c r="B3099" s="35" t="n"/>
      <c r="C3099" s="35" t="n"/>
      <c r="D3099" s="35" t="n"/>
    </row>
    <row r="3100">
      <c r="A3100" s="35" t="n"/>
      <c r="B3100" s="35" t="n"/>
      <c r="C3100" s="35" t="n"/>
      <c r="D3100" s="35" t="n"/>
    </row>
    <row r="3101">
      <c r="A3101" s="35" t="n"/>
      <c r="B3101" s="35" t="n"/>
      <c r="C3101" s="35" t="n"/>
      <c r="D3101" s="35" t="n"/>
    </row>
    <row r="3102">
      <c r="A3102" s="35" t="n"/>
      <c r="B3102" s="35" t="n"/>
      <c r="C3102" s="35" t="n"/>
      <c r="D3102" s="35" t="n"/>
    </row>
    <row r="3103">
      <c r="A3103" s="35" t="n"/>
      <c r="B3103" s="35" t="n"/>
      <c r="C3103" s="35" t="n"/>
      <c r="D3103" s="35" t="n"/>
    </row>
    <row r="3104">
      <c r="A3104" s="35" t="n"/>
      <c r="B3104" s="35" t="n"/>
      <c r="C3104" s="35" t="n"/>
      <c r="D3104" s="35" t="n"/>
    </row>
    <row r="3105">
      <c r="A3105" s="35" t="n"/>
      <c r="B3105" s="35" t="n"/>
      <c r="C3105" s="35" t="n"/>
      <c r="D3105" s="35" t="n"/>
    </row>
    <row r="3106">
      <c r="A3106" s="35" t="n"/>
      <c r="B3106" s="35" t="n"/>
      <c r="C3106" s="35" t="n"/>
      <c r="D3106" s="35" t="n"/>
    </row>
    <row r="3107">
      <c r="A3107" s="35" t="n"/>
      <c r="B3107" s="35" t="n"/>
      <c r="C3107" s="35" t="n"/>
      <c r="D3107" s="35" t="n"/>
    </row>
    <row r="3108">
      <c r="A3108" s="35" t="n"/>
      <c r="B3108" s="35" t="n"/>
      <c r="C3108" s="35" t="n"/>
      <c r="D3108" s="35" t="n"/>
    </row>
    <row r="3109">
      <c r="A3109" s="35" t="n"/>
      <c r="B3109" s="35" t="n"/>
      <c r="C3109" s="35" t="n"/>
      <c r="D3109" s="35" t="n"/>
    </row>
    <row r="3110">
      <c r="A3110" s="35" t="n"/>
      <c r="B3110" s="35" t="n"/>
      <c r="C3110" s="35" t="n"/>
      <c r="D3110" s="35" t="n"/>
    </row>
    <row r="3111">
      <c r="A3111" s="35" t="n"/>
      <c r="B3111" s="35" t="n"/>
      <c r="C3111" s="35" t="n"/>
      <c r="D3111" s="35" t="n"/>
    </row>
    <row r="3112">
      <c r="A3112" s="35" t="n"/>
      <c r="B3112" s="35" t="n"/>
      <c r="C3112" s="35" t="n"/>
      <c r="D3112" s="35" t="n"/>
    </row>
    <row r="3113">
      <c r="A3113" s="35" t="n"/>
      <c r="B3113" s="35" t="n"/>
      <c r="C3113" s="35" t="n"/>
      <c r="D3113" s="35" t="n"/>
    </row>
    <row r="3114">
      <c r="A3114" s="35" t="n"/>
      <c r="B3114" s="35" t="n"/>
      <c r="C3114" s="35" t="n"/>
      <c r="D3114" s="35" t="n"/>
    </row>
    <row r="3115">
      <c r="A3115" s="35" t="n"/>
      <c r="B3115" s="35" t="n"/>
      <c r="C3115" s="35" t="n"/>
      <c r="D3115" s="35" t="n"/>
    </row>
    <row r="3116">
      <c r="A3116" s="35" t="n"/>
      <c r="B3116" s="35" t="n"/>
      <c r="C3116" s="35" t="n"/>
      <c r="D3116" s="35" t="n"/>
    </row>
    <row r="3117">
      <c r="A3117" s="35" t="n"/>
      <c r="B3117" s="35" t="n"/>
      <c r="C3117" s="35" t="n"/>
      <c r="D3117" s="35" t="n"/>
    </row>
    <row r="3118">
      <c r="A3118" s="35" t="n"/>
      <c r="B3118" s="35" t="n"/>
      <c r="C3118" s="35" t="n"/>
      <c r="D3118" s="35" t="n"/>
    </row>
    <row r="3119">
      <c r="A3119" s="35" t="n"/>
      <c r="B3119" s="35" t="n"/>
      <c r="C3119" s="35" t="n"/>
      <c r="D3119" s="35" t="n"/>
    </row>
    <row r="3120">
      <c r="A3120" s="35" t="n"/>
      <c r="B3120" s="35" t="n"/>
      <c r="C3120" s="35" t="n"/>
      <c r="D3120" s="35" t="n"/>
    </row>
    <row r="3121">
      <c r="A3121" s="35" t="n"/>
      <c r="B3121" s="35" t="n"/>
      <c r="C3121" s="35" t="n"/>
      <c r="D3121" s="35" t="n"/>
    </row>
    <row r="3122">
      <c r="A3122" s="35" t="n"/>
      <c r="B3122" s="35" t="n"/>
      <c r="C3122" s="35" t="n"/>
      <c r="D3122" s="35" t="n"/>
    </row>
    <row r="3123">
      <c r="A3123" s="35" t="n"/>
      <c r="B3123" s="35" t="n"/>
      <c r="C3123" s="35" t="n"/>
      <c r="D3123" s="35" t="n"/>
    </row>
    <row r="3124">
      <c r="A3124" s="35" t="n"/>
      <c r="B3124" s="35" t="n"/>
      <c r="C3124" s="35" t="n"/>
      <c r="D3124" s="35" t="n"/>
    </row>
    <row r="3125">
      <c r="A3125" s="35" t="n"/>
      <c r="B3125" s="35" t="n"/>
      <c r="C3125" s="35" t="n"/>
      <c r="D3125" s="35" t="n"/>
    </row>
    <row r="3126">
      <c r="A3126" s="35" t="n"/>
      <c r="B3126" s="35" t="n"/>
      <c r="C3126" s="35" t="n"/>
      <c r="D3126" s="35" t="n"/>
    </row>
    <row r="3127">
      <c r="A3127" s="35" t="n"/>
      <c r="B3127" s="35" t="n"/>
      <c r="C3127" s="35" t="n"/>
      <c r="D3127" s="35" t="n"/>
    </row>
    <row r="3128">
      <c r="A3128" s="35" t="n"/>
      <c r="B3128" s="35" t="n"/>
      <c r="C3128" s="35" t="n"/>
      <c r="D3128" s="35" t="n"/>
    </row>
    <row r="3129">
      <c r="A3129" s="35" t="n"/>
      <c r="B3129" s="35" t="n"/>
      <c r="C3129" s="35" t="n"/>
      <c r="D3129" s="35" t="n"/>
    </row>
    <row r="3130">
      <c r="A3130" s="35" t="n"/>
      <c r="B3130" s="35" t="n"/>
      <c r="C3130" s="35" t="n"/>
      <c r="D3130" s="35" t="n"/>
    </row>
    <row r="3131">
      <c r="A3131" s="35" t="n"/>
      <c r="B3131" s="35" t="n"/>
      <c r="C3131" s="35" t="n"/>
      <c r="D3131" s="35" t="n"/>
    </row>
    <row r="3132">
      <c r="A3132" s="35" t="n"/>
      <c r="B3132" s="35" t="n"/>
      <c r="C3132" s="35" t="n"/>
      <c r="D3132" s="35" t="n"/>
    </row>
    <row r="3133">
      <c r="A3133" s="35" t="n"/>
      <c r="B3133" s="35" t="n"/>
      <c r="C3133" s="35" t="n"/>
      <c r="D3133" s="35" t="n"/>
    </row>
    <row r="3134">
      <c r="A3134" s="35" t="n"/>
      <c r="B3134" s="35" t="n"/>
      <c r="C3134" s="35" t="n"/>
      <c r="D3134" s="35" t="n"/>
    </row>
    <row r="3135">
      <c r="A3135" s="35" t="n"/>
      <c r="B3135" s="35" t="n"/>
      <c r="C3135" s="35" t="n"/>
      <c r="D3135" s="35" t="n"/>
    </row>
    <row r="3136">
      <c r="A3136" s="35" t="n"/>
      <c r="B3136" s="35" t="n"/>
      <c r="C3136" s="35" t="n"/>
      <c r="D3136" s="35" t="n"/>
    </row>
    <row r="3137">
      <c r="A3137" s="35" t="n"/>
      <c r="B3137" s="35" t="n"/>
      <c r="C3137" s="35" t="n"/>
      <c r="D3137" s="35" t="n"/>
    </row>
    <row r="3138">
      <c r="A3138" s="35" t="n"/>
      <c r="B3138" s="35" t="n"/>
      <c r="C3138" s="35" t="n"/>
      <c r="D3138" s="35" t="n"/>
    </row>
    <row r="3139">
      <c r="A3139" s="35" t="n"/>
      <c r="B3139" s="35" t="n"/>
      <c r="C3139" s="35" t="n"/>
      <c r="D3139" s="35" t="n"/>
    </row>
    <row r="3140">
      <c r="A3140" s="35" t="n"/>
      <c r="B3140" s="35" t="n"/>
      <c r="C3140" s="35" t="n"/>
      <c r="D3140" s="35" t="n"/>
    </row>
    <row r="3141">
      <c r="A3141" s="35" t="n"/>
      <c r="B3141" s="35" t="n"/>
      <c r="C3141" s="35" t="n"/>
      <c r="D3141" s="35" t="n"/>
    </row>
    <row r="3142">
      <c r="A3142" s="35" t="n"/>
      <c r="B3142" s="35" t="n"/>
      <c r="C3142" s="35" t="n"/>
      <c r="D3142" s="35" t="n"/>
    </row>
    <row r="3143">
      <c r="A3143" s="35" t="n"/>
      <c r="B3143" s="35" t="n"/>
      <c r="C3143" s="35" t="n"/>
      <c r="D3143" s="35" t="n"/>
    </row>
    <row r="3144">
      <c r="A3144" s="35" t="n"/>
      <c r="B3144" s="35" t="n"/>
      <c r="C3144" s="35" t="n"/>
      <c r="D3144" s="35" t="n"/>
    </row>
    <row r="3145">
      <c r="A3145" s="35" t="n"/>
      <c r="B3145" s="35" t="n"/>
      <c r="C3145" s="35" t="n"/>
      <c r="D3145" s="35" t="n"/>
    </row>
    <row r="3146">
      <c r="A3146" s="35" t="n"/>
      <c r="B3146" s="35" t="n"/>
      <c r="C3146" s="35" t="n"/>
      <c r="D3146" s="35" t="n"/>
    </row>
    <row r="3147">
      <c r="A3147" s="35" t="n"/>
      <c r="B3147" s="35" t="n"/>
      <c r="C3147" s="35" t="n"/>
      <c r="D3147" s="35" t="n"/>
    </row>
    <row r="3148">
      <c r="A3148" s="35" t="n"/>
      <c r="B3148" s="35" t="n"/>
      <c r="C3148" s="35" t="n"/>
      <c r="D3148" s="35" t="n"/>
    </row>
    <row r="3149">
      <c r="A3149" s="35" t="n"/>
      <c r="B3149" s="35" t="n"/>
      <c r="C3149" s="35" t="n"/>
      <c r="D3149" s="35" t="n"/>
    </row>
    <row r="3150">
      <c r="A3150" s="35" t="n"/>
      <c r="B3150" s="35" t="n"/>
      <c r="C3150" s="35" t="n"/>
      <c r="D3150" s="35" t="n"/>
    </row>
    <row r="3151">
      <c r="A3151" s="35" t="n"/>
      <c r="B3151" s="35" t="n"/>
      <c r="C3151" s="35" t="n"/>
      <c r="D3151" s="35" t="n"/>
    </row>
    <row r="3152">
      <c r="A3152" s="35" t="n"/>
      <c r="B3152" s="35" t="n"/>
      <c r="C3152" s="35" t="n"/>
      <c r="D3152" s="35" t="n"/>
    </row>
    <row r="3153">
      <c r="A3153" s="35" t="n"/>
      <c r="B3153" s="35" t="n"/>
      <c r="C3153" s="35" t="n"/>
      <c r="D3153" s="35" t="n"/>
    </row>
    <row r="3154">
      <c r="A3154" s="35" t="n"/>
      <c r="B3154" s="35" t="n"/>
      <c r="C3154" s="35" t="n"/>
      <c r="D3154" s="35" t="n"/>
    </row>
    <row r="3155">
      <c r="A3155" s="35" t="n"/>
      <c r="B3155" s="35" t="n"/>
      <c r="C3155" s="35" t="n"/>
      <c r="D3155" s="35" t="n"/>
    </row>
    <row r="3156">
      <c r="A3156" s="35" t="n"/>
      <c r="B3156" s="35" t="n"/>
      <c r="C3156" s="35" t="n"/>
      <c r="D3156" s="35" t="n"/>
    </row>
    <row r="3157">
      <c r="A3157" s="35" t="n"/>
      <c r="B3157" s="35" t="n"/>
      <c r="C3157" s="35" t="n"/>
      <c r="D3157" s="35" t="n"/>
    </row>
    <row r="3158">
      <c r="A3158" s="35" t="n"/>
      <c r="B3158" s="35" t="n"/>
      <c r="C3158" s="35" t="n"/>
      <c r="D3158" s="35" t="n"/>
    </row>
    <row r="3159">
      <c r="A3159" s="35" t="n"/>
      <c r="B3159" s="35" t="n"/>
      <c r="C3159" s="35" t="n"/>
      <c r="D3159" s="35" t="n"/>
    </row>
    <row r="3160">
      <c r="A3160" s="35" t="n"/>
      <c r="B3160" s="35" t="n"/>
      <c r="C3160" s="35" t="n"/>
      <c r="D3160" s="35" t="n"/>
    </row>
    <row r="3161">
      <c r="A3161" s="35" t="n"/>
      <c r="B3161" s="35" t="n"/>
      <c r="C3161" s="35" t="n"/>
      <c r="D3161" s="35" t="n"/>
    </row>
    <row r="3162">
      <c r="A3162" s="35" t="n"/>
      <c r="B3162" s="35" t="n"/>
      <c r="C3162" s="35" t="n"/>
      <c r="D3162" s="35" t="n"/>
    </row>
    <row r="3163">
      <c r="A3163" s="35" t="n"/>
      <c r="B3163" s="35" t="n"/>
      <c r="C3163" s="35" t="n"/>
      <c r="D3163" s="35" t="n"/>
    </row>
    <row r="3164">
      <c r="A3164" s="35" t="n"/>
      <c r="B3164" s="35" t="n"/>
      <c r="C3164" s="35" t="n"/>
      <c r="D3164" s="35" t="n"/>
    </row>
    <row r="3165">
      <c r="A3165" s="35" t="n"/>
      <c r="B3165" s="35" t="n"/>
      <c r="C3165" s="35" t="n"/>
      <c r="D3165" s="35" t="n"/>
    </row>
    <row r="3166">
      <c r="A3166" s="35" t="n"/>
      <c r="B3166" s="35" t="n"/>
      <c r="C3166" s="35" t="n"/>
      <c r="D3166" s="35" t="n"/>
    </row>
    <row r="3167">
      <c r="A3167" s="35" t="n"/>
      <c r="B3167" s="35" t="n"/>
      <c r="C3167" s="35" t="n"/>
      <c r="D3167" s="35" t="n"/>
    </row>
    <row r="3168">
      <c r="A3168" s="35" t="n"/>
      <c r="B3168" s="35" t="n"/>
      <c r="C3168" s="35" t="n"/>
      <c r="D3168" s="35" t="n"/>
    </row>
    <row r="3169">
      <c r="A3169" s="35" t="n"/>
      <c r="B3169" s="35" t="n"/>
      <c r="C3169" s="35" t="n"/>
      <c r="D3169" s="35" t="n"/>
    </row>
    <row r="3170">
      <c r="A3170" s="35" t="n"/>
      <c r="B3170" s="35" t="n"/>
      <c r="C3170" s="35" t="n"/>
      <c r="D3170" s="35" t="n"/>
    </row>
    <row r="3171">
      <c r="A3171" s="35" t="n"/>
      <c r="B3171" s="35" t="n"/>
      <c r="C3171" s="35" t="n"/>
      <c r="D3171" s="35" t="n"/>
    </row>
    <row r="3172">
      <c r="A3172" s="35" t="n"/>
      <c r="B3172" s="35" t="n"/>
      <c r="C3172" s="35" t="n"/>
      <c r="D3172" s="35" t="n"/>
    </row>
    <row r="3173">
      <c r="A3173" s="35" t="n"/>
      <c r="B3173" s="35" t="n"/>
      <c r="C3173" s="35" t="n"/>
      <c r="D3173" s="35" t="n"/>
    </row>
    <row r="3174">
      <c r="A3174" s="35" t="n"/>
      <c r="B3174" s="35" t="n"/>
      <c r="C3174" s="35" t="n"/>
      <c r="D3174" s="35" t="n"/>
    </row>
    <row r="3175">
      <c r="A3175" s="35" t="n"/>
      <c r="B3175" s="35" t="n"/>
      <c r="C3175" s="35" t="n"/>
      <c r="D3175" s="35" t="n"/>
    </row>
    <row r="3176">
      <c r="A3176" s="35" t="n"/>
      <c r="B3176" s="35" t="n"/>
      <c r="C3176" s="35" t="n"/>
      <c r="D3176" s="35" t="n"/>
    </row>
    <row r="3177">
      <c r="A3177" s="35" t="n"/>
      <c r="B3177" s="35" t="n"/>
      <c r="C3177" s="35" t="n"/>
      <c r="D3177" s="35" t="n"/>
    </row>
    <row r="3178">
      <c r="A3178" s="35" t="n"/>
      <c r="B3178" s="35" t="n"/>
      <c r="C3178" s="35" t="n"/>
      <c r="D3178" s="35" t="n"/>
    </row>
    <row r="3179">
      <c r="A3179" s="35" t="n"/>
      <c r="B3179" s="35" t="n"/>
      <c r="C3179" s="35" t="n"/>
      <c r="D3179" s="35" t="n"/>
    </row>
    <row r="3180">
      <c r="A3180" s="35" t="n"/>
      <c r="B3180" s="35" t="n"/>
      <c r="C3180" s="35" t="n"/>
      <c r="D3180" s="35" t="n"/>
    </row>
    <row r="3181">
      <c r="A3181" s="35" t="n"/>
      <c r="B3181" s="35" t="n"/>
      <c r="C3181" s="35" t="n"/>
      <c r="D3181" s="35" t="n"/>
    </row>
    <row r="3182">
      <c r="A3182" s="35" t="n"/>
      <c r="B3182" s="35" t="n"/>
      <c r="C3182" s="35" t="n"/>
      <c r="D3182" s="35" t="n"/>
    </row>
    <row r="3183">
      <c r="A3183" s="35" t="n"/>
      <c r="B3183" s="35" t="n"/>
      <c r="C3183" s="35" t="n"/>
      <c r="D3183" s="35" t="n"/>
    </row>
    <row r="3184">
      <c r="A3184" s="35" t="n"/>
      <c r="B3184" s="35" t="n"/>
      <c r="C3184" s="35" t="n"/>
      <c r="D3184" s="35" t="n"/>
    </row>
    <row r="3185">
      <c r="A3185" s="35" t="n"/>
      <c r="B3185" s="35" t="n"/>
      <c r="C3185" s="35" t="n"/>
      <c r="D3185" s="35" t="n"/>
    </row>
    <row r="3186">
      <c r="A3186" s="35" t="n"/>
      <c r="B3186" s="35" t="n"/>
      <c r="C3186" s="35" t="n"/>
      <c r="D3186" s="35" t="n"/>
    </row>
    <row r="3187">
      <c r="A3187" s="35" t="n"/>
      <c r="B3187" s="35" t="n"/>
      <c r="C3187" s="35" t="n"/>
      <c r="D3187" s="35" t="n"/>
    </row>
    <row r="3188">
      <c r="A3188" s="35" t="n"/>
      <c r="B3188" s="35" t="n"/>
      <c r="C3188" s="35" t="n"/>
      <c r="D3188" s="35" t="n"/>
    </row>
    <row r="3189">
      <c r="A3189" s="35" t="n"/>
      <c r="B3189" s="35" t="n"/>
      <c r="C3189" s="35" t="n"/>
      <c r="D3189" s="35" t="n"/>
    </row>
    <row r="3190">
      <c r="A3190" s="35" t="n"/>
      <c r="B3190" s="35" t="n"/>
      <c r="C3190" s="35" t="n"/>
      <c r="D3190" s="35" t="n"/>
    </row>
    <row r="3191">
      <c r="A3191" s="35" t="n"/>
      <c r="B3191" s="35" t="n"/>
      <c r="C3191" s="35" t="n"/>
      <c r="D3191" s="35" t="n"/>
    </row>
    <row r="3192">
      <c r="A3192" s="35" t="n"/>
      <c r="B3192" s="35" t="n"/>
      <c r="C3192" s="35" t="n"/>
      <c r="D3192" s="35" t="n"/>
    </row>
    <row r="3193">
      <c r="A3193" s="35" t="n"/>
      <c r="B3193" s="35" t="n"/>
      <c r="C3193" s="35" t="n"/>
      <c r="D3193" s="35" t="n"/>
    </row>
    <row r="3194">
      <c r="A3194" s="35" t="n"/>
      <c r="B3194" s="35" t="n"/>
      <c r="C3194" s="35" t="n"/>
      <c r="D3194" s="35" t="n"/>
    </row>
    <row r="3195">
      <c r="A3195" s="35" t="n"/>
      <c r="B3195" s="35" t="n"/>
      <c r="C3195" s="35" t="n"/>
      <c r="D3195" s="35" t="n"/>
    </row>
    <row r="3196">
      <c r="A3196" s="35" t="n"/>
      <c r="B3196" s="35" t="n"/>
      <c r="C3196" s="35" t="n"/>
      <c r="D3196" s="35" t="n"/>
    </row>
    <row r="3197">
      <c r="A3197" s="35" t="n"/>
      <c r="B3197" s="35" t="n"/>
      <c r="C3197" s="35" t="n"/>
      <c r="D3197" s="35" t="n"/>
    </row>
    <row r="3198">
      <c r="A3198" s="35" t="n"/>
      <c r="B3198" s="35" t="n"/>
      <c r="C3198" s="35" t="n"/>
      <c r="D3198" s="35" t="n"/>
    </row>
    <row r="3199">
      <c r="A3199" s="35" t="n"/>
      <c r="B3199" s="35" t="n"/>
      <c r="C3199" s="35" t="n"/>
      <c r="D3199" s="35" t="n"/>
    </row>
    <row r="3200">
      <c r="A3200" s="35" t="n"/>
      <c r="B3200" s="35" t="n"/>
      <c r="C3200" s="35" t="n"/>
      <c r="D3200" s="35" t="n"/>
    </row>
    <row r="3201">
      <c r="A3201" s="35" t="n"/>
      <c r="B3201" s="35" t="n"/>
      <c r="C3201" s="35" t="n"/>
      <c r="D3201" s="35" t="n"/>
    </row>
    <row r="3202">
      <c r="A3202" s="35" t="n"/>
      <c r="B3202" s="35" t="n"/>
      <c r="C3202" s="35" t="n"/>
      <c r="D3202" s="35" t="n"/>
    </row>
    <row r="3203">
      <c r="A3203" s="35" t="n"/>
      <c r="B3203" s="35" t="n"/>
      <c r="C3203" s="35" t="n"/>
      <c r="D3203" s="35" t="n"/>
    </row>
    <row r="3204">
      <c r="A3204" s="35" t="n"/>
      <c r="B3204" s="35" t="n"/>
      <c r="C3204" s="35" t="n"/>
      <c r="D3204" s="35" t="n"/>
    </row>
    <row r="3205">
      <c r="A3205" s="35" t="n"/>
      <c r="B3205" s="35" t="n"/>
      <c r="C3205" s="35" t="n"/>
      <c r="D3205" s="35" t="n"/>
    </row>
    <row r="3206">
      <c r="A3206" s="35" t="n"/>
      <c r="B3206" s="35" t="n"/>
      <c r="C3206" s="35" t="n"/>
      <c r="D3206" s="35" t="n"/>
    </row>
    <row r="3207">
      <c r="A3207" s="35" t="n"/>
      <c r="B3207" s="35" t="n"/>
      <c r="C3207" s="35" t="n"/>
      <c r="D3207" s="35" t="n"/>
    </row>
    <row r="3208">
      <c r="A3208" s="35" t="n"/>
      <c r="B3208" s="35" t="n"/>
      <c r="C3208" s="35" t="n"/>
      <c r="D3208" s="35" t="n"/>
    </row>
    <row r="3209">
      <c r="A3209" s="35" t="n"/>
      <c r="B3209" s="35" t="n"/>
      <c r="C3209" s="35" t="n"/>
      <c r="D3209" s="35" t="n"/>
    </row>
    <row r="3210">
      <c r="A3210" s="35" t="n"/>
      <c r="B3210" s="35" t="n"/>
      <c r="C3210" s="35" t="n"/>
      <c r="D3210" s="35" t="n"/>
    </row>
    <row r="3211">
      <c r="A3211" s="35" t="n"/>
      <c r="B3211" s="35" t="n"/>
      <c r="C3211" s="35" t="n"/>
      <c r="D3211" s="35" t="n"/>
    </row>
    <row r="3212">
      <c r="A3212" s="35" t="n"/>
      <c r="B3212" s="35" t="n"/>
      <c r="C3212" s="35" t="n"/>
      <c r="D3212" s="35" t="n"/>
    </row>
    <row r="3213">
      <c r="A3213" s="35" t="n"/>
      <c r="B3213" s="35" t="n"/>
      <c r="C3213" s="35" t="n"/>
      <c r="D3213" s="35" t="n"/>
    </row>
    <row r="3214">
      <c r="A3214" s="35" t="n"/>
      <c r="B3214" s="35" t="n"/>
      <c r="C3214" s="35" t="n"/>
      <c r="D3214" s="35" t="n"/>
    </row>
    <row r="3215">
      <c r="A3215" s="35" t="n"/>
      <c r="B3215" s="35" t="n"/>
      <c r="C3215" s="35" t="n"/>
      <c r="D3215" s="35" t="n"/>
    </row>
    <row r="3216">
      <c r="A3216" s="35" t="n"/>
      <c r="B3216" s="35" t="n"/>
      <c r="C3216" s="35" t="n"/>
      <c r="D3216" s="35" t="n"/>
    </row>
    <row r="3217">
      <c r="A3217" s="35" t="n"/>
      <c r="B3217" s="35" t="n"/>
      <c r="C3217" s="35" t="n"/>
      <c r="D3217" s="35" t="n"/>
    </row>
    <row r="3218">
      <c r="A3218" s="35" t="n"/>
      <c r="B3218" s="35" t="n"/>
      <c r="C3218" s="35" t="n"/>
      <c r="D3218" s="35" t="n"/>
    </row>
    <row r="3219">
      <c r="A3219" s="35" t="n"/>
      <c r="B3219" s="35" t="n"/>
      <c r="C3219" s="35" t="n"/>
      <c r="D3219" s="35" t="n"/>
    </row>
    <row r="3220">
      <c r="A3220" s="35" t="n"/>
      <c r="B3220" s="35" t="n"/>
      <c r="C3220" s="35" t="n"/>
      <c r="D3220" s="35" t="n"/>
    </row>
    <row r="3221">
      <c r="A3221" s="35" t="n"/>
      <c r="B3221" s="35" t="n"/>
      <c r="C3221" s="35" t="n"/>
      <c r="D3221" s="35" t="n"/>
    </row>
    <row r="3222">
      <c r="A3222" s="35" t="n"/>
      <c r="B3222" s="35" t="n"/>
      <c r="C3222" s="35" t="n"/>
      <c r="D3222" s="35" t="n"/>
    </row>
    <row r="3223">
      <c r="A3223" s="35" t="n"/>
      <c r="B3223" s="35" t="n"/>
      <c r="C3223" s="35" t="n"/>
      <c r="D3223" s="35" t="n"/>
    </row>
    <row r="3224">
      <c r="A3224" s="35" t="n"/>
      <c r="B3224" s="35" t="n"/>
      <c r="C3224" s="35" t="n"/>
      <c r="D3224" s="35" t="n"/>
    </row>
    <row r="3225">
      <c r="A3225" s="35" t="n"/>
      <c r="B3225" s="35" t="n"/>
      <c r="C3225" s="35" t="n"/>
      <c r="D3225" s="35" t="n"/>
    </row>
    <row r="3226">
      <c r="A3226" s="35" t="n"/>
      <c r="B3226" s="35" t="n"/>
      <c r="C3226" s="35" t="n"/>
      <c r="D3226" s="35" t="n"/>
    </row>
    <row r="3227">
      <c r="A3227" s="35" t="n"/>
      <c r="B3227" s="35" t="n"/>
      <c r="C3227" s="35" t="n"/>
      <c r="D3227" s="35" t="n"/>
    </row>
    <row r="3228">
      <c r="A3228" s="35" t="n"/>
      <c r="B3228" s="35" t="n"/>
      <c r="C3228" s="35" t="n"/>
      <c r="D3228" s="35" t="n"/>
    </row>
    <row r="3229">
      <c r="A3229" s="35" t="n"/>
      <c r="B3229" s="35" t="n"/>
      <c r="C3229" s="35" t="n"/>
      <c r="D3229" s="35" t="n"/>
    </row>
    <row r="3230">
      <c r="A3230" s="35" t="n"/>
      <c r="B3230" s="35" t="n"/>
      <c r="C3230" s="35" t="n"/>
      <c r="D3230" s="35" t="n"/>
    </row>
    <row r="3231">
      <c r="A3231" s="35" t="n"/>
      <c r="B3231" s="35" t="n"/>
      <c r="C3231" s="35" t="n"/>
      <c r="D3231" s="35" t="n"/>
    </row>
    <row r="3232">
      <c r="A3232" s="35" t="n"/>
      <c r="B3232" s="35" t="n"/>
      <c r="C3232" s="35" t="n"/>
      <c r="D3232" s="35" t="n"/>
    </row>
    <row r="3233">
      <c r="A3233" s="35" t="n"/>
      <c r="B3233" s="35" t="n"/>
      <c r="C3233" s="35" t="n"/>
      <c r="D3233" s="35" t="n"/>
    </row>
    <row r="3234">
      <c r="A3234" s="35" t="n"/>
      <c r="B3234" s="35" t="n"/>
      <c r="C3234" s="35" t="n"/>
      <c r="D3234" s="35" t="n"/>
    </row>
    <row r="3235">
      <c r="A3235" s="35" t="n"/>
      <c r="B3235" s="35" t="n"/>
      <c r="C3235" s="35" t="n"/>
      <c r="D3235" s="35" t="n"/>
    </row>
    <row r="3236">
      <c r="A3236" s="35" t="n"/>
      <c r="B3236" s="35" t="n"/>
      <c r="C3236" s="35" t="n"/>
      <c r="D3236" s="35" t="n"/>
    </row>
    <row r="3237">
      <c r="A3237" s="35" t="n"/>
      <c r="B3237" s="35" t="n"/>
      <c r="C3237" s="35" t="n"/>
      <c r="D3237" s="35" t="n"/>
    </row>
    <row r="3238">
      <c r="A3238" s="35" t="n"/>
      <c r="B3238" s="35" t="n"/>
      <c r="C3238" s="35" t="n"/>
      <c r="D3238" s="35" t="n"/>
    </row>
    <row r="3239">
      <c r="A3239" s="35" t="n"/>
      <c r="B3239" s="35" t="n"/>
      <c r="C3239" s="35" t="n"/>
      <c r="D3239" s="35" t="n"/>
    </row>
    <row r="3240">
      <c r="A3240" s="35" t="n"/>
      <c r="B3240" s="35" t="n"/>
      <c r="C3240" s="35" t="n"/>
      <c r="D3240" s="35" t="n"/>
    </row>
    <row r="3241">
      <c r="A3241" s="35" t="n"/>
      <c r="B3241" s="35" t="n"/>
      <c r="C3241" s="35" t="n"/>
      <c r="D3241" s="35" t="n"/>
    </row>
    <row r="3242">
      <c r="A3242" s="35" t="n"/>
      <c r="B3242" s="35" t="n"/>
      <c r="C3242" s="35" t="n"/>
      <c r="D3242" s="35" t="n"/>
    </row>
    <row r="3243">
      <c r="A3243" s="35" t="n"/>
      <c r="B3243" s="35" t="n"/>
      <c r="C3243" s="35" t="n"/>
      <c r="D3243" s="35" t="n"/>
    </row>
    <row r="3244">
      <c r="A3244" s="35" t="n"/>
      <c r="B3244" s="35" t="n"/>
      <c r="C3244" s="35" t="n"/>
      <c r="D3244" s="35" t="n"/>
    </row>
    <row r="3245">
      <c r="A3245" s="35" t="n"/>
      <c r="B3245" s="35" t="n"/>
      <c r="C3245" s="35" t="n"/>
      <c r="D3245" s="35" t="n"/>
    </row>
    <row r="3246">
      <c r="A3246" s="35" t="n"/>
      <c r="B3246" s="35" t="n"/>
      <c r="C3246" s="35" t="n"/>
      <c r="D3246" s="35" t="n"/>
    </row>
    <row r="3247">
      <c r="A3247" s="35" t="n"/>
      <c r="B3247" s="35" t="n"/>
      <c r="C3247" s="35" t="n"/>
      <c r="D3247" s="35" t="n"/>
    </row>
    <row r="3248">
      <c r="A3248" s="35" t="n"/>
      <c r="B3248" s="35" t="n"/>
      <c r="C3248" s="35" t="n"/>
      <c r="D3248" s="35" t="n"/>
    </row>
    <row r="3249">
      <c r="A3249" s="35" t="n"/>
      <c r="B3249" s="35" t="n"/>
      <c r="C3249" s="35" t="n"/>
      <c r="D3249" s="35" t="n"/>
    </row>
    <row r="3250">
      <c r="A3250" s="35" t="n"/>
      <c r="B3250" s="35" t="n"/>
      <c r="C3250" s="35" t="n"/>
      <c r="D3250" s="35" t="n"/>
    </row>
    <row r="3251">
      <c r="A3251" s="35" t="n"/>
      <c r="B3251" s="35" t="n"/>
      <c r="C3251" s="35" t="n"/>
      <c r="D3251" s="35" t="n"/>
    </row>
    <row r="3252">
      <c r="A3252" s="35" t="n"/>
      <c r="B3252" s="35" t="n"/>
      <c r="C3252" s="35" t="n"/>
      <c r="D3252" s="35" t="n"/>
    </row>
    <row r="3253">
      <c r="A3253" s="35" t="n"/>
      <c r="B3253" s="35" t="n"/>
      <c r="C3253" s="35" t="n"/>
      <c r="D3253" s="35" t="n"/>
    </row>
    <row r="3254">
      <c r="A3254" s="35" t="n"/>
      <c r="B3254" s="35" t="n"/>
      <c r="C3254" s="35" t="n"/>
      <c r="D3254" s="35" t="n"/>
    </row>
    <row r="3255">
      <c r="A3255" s="35" t="n"/>
      <c r="B3255" s="35" t="n"/>
      <c r="C3255" s="35" t="n"/>
      <c r="D3255" s="35" t="n"/>
    </row>
    <row r="3256">
      <c r="A3256" s="35" t="n"/>
      <c r="B3256" s="35" t="n"/>
      <c r="C3256" s="35" t="n"/>
      <c r="D3256" s="35" t="n"/>
    </row>
    <row r="3257">
      <c r="A3257" s="35" t="n"/>
      <c r="B3257" s="35" t="n"/>
      <c r="C3257" s="35" t="n"/>
      <c r="D3257" s="35" t="n"/>
    </row>
    <row r="3258">
      <c r="A3258" s="35" t="n"/>
      <c r="B3258" s="35" t="n"/>
      <c r="C3258" s="35" t="n"/>
      <c r="D3258" s="35" t="n"/>
    </row>
    <row r="3259">
      <c r="A3259" s="35" t="n"/>
      <c r="B3259" s="35" t="n"/>
      <c r="C3259" s="35" t="n"/>
      <c r="D3259" s="35" t="n"/>
    </row>
    <row r="3260">
      <c r="A3260" s="35" t="n"/>
      <c r="B3260" s="35" t="n"/>
      <c r="C3260" s="35" t="n"/>
      <c r="D3260" s="35" t="n"/>
    </row>
    <row r="3261">
      <c r="A3261" s="35" t="n"/>
      <c r="B3261" s="35" t="n"/>
      <c r="C3261" s="35" t="n"/>
      <c r="D3261" s="35" t="n"/>
    </row>
    <row r="3262">
      <c r="A3262" s="35" t="n"/>
      <c r="B3262" s="35" t="n"/>
      <c r="C3262" s="35" t="n"/>
      <c r="D3262" s="35" t="n"/>
    </row>
    <row r="3263">
      <c r="A3263" s="35" t="n"/>
      <c r="B3263" s="35" t="n"/>
      <c r="C3263" s="35" t="n"/>
      <c r="D3263" s="35" t="n"/>
    </row>
    <row r="3264">
      <c r="A3264" s="35" t="n"/>
      <c r="B3264" s="35" t="n"/>
      <c r="C3264" s="35" t="n"/>
      <c r="D3264" s="35" t="n"/>
    </row>
    <row r="3265">
      <c r="A3265" s="35" t="n"/>
      <c r="B3265" s="35" t="n"/>
      <c r="C3265" s="35" t="n"/>
      <c r="D3265" s="35" t="n"/>
    </row>
    <row r="3266">
      <c r="A3266" s="35" t="n"/>
      <c r="B3266" s="35" t="n"/>
      <c r="C3266" s="35" t="n"/>
      <c r="D3266" s="35" t="n"/>
    </row>
    <row r="3267">
      <c r="A3267" s="35" t="n"/>
      <c r="B3267" s="35" t="n"/>
      <c r="C3267" s="35" t="n"/>
      <c r="D3267" s="35" t="n"/>
    </row>
    <row r="3268">
      <c r="A3268" s="35" t="n"/>
      <c r="B3268" s="35" t="n"/>
      <c r="C3268" s="35" t="n"/>
      <c r="D3268" s="35" t="n"/>
    </row>
    <row r="3269">
      <c r="A3269" s="35" t="n"/>
      <c r="B3269" s="35" t="n"/>
      <c r="C3269" s="35" t="n"/>
      <c r="D3269" s="35" t="n"/>
    </row>
    <row r="3270">
      <c r="A3270" s="35" t="n"/>
      <c r="B3270" s="35" t="n"/>
      <c r="C3270" s="35" t="n"/>
      <c r="D3270" s="35" t="n"/>
    </row>
    <row r="3271">
      <c r="A3271" s="35" t="n"/>
      <c r="B3271" s="35" t="n"/>
      <c r="C3271" s="35" t="n"/>
      <c r="D3271" s="35" t="n"/>
    </row>
    <row r="3272">
      <c r="A3272" s="35" t="n"/>
      <c r="B3272" s="35" t="n"/>
      <c r="C3272" s="35" t="n"/>
      <c r="D3272" s="35" t="n"/>
    </row>
    <row r="3273">
      <c r="A3273" s="35" t="n"/>
      <c r="B3273" s="35" t="n"/>
      <c r="C3273" s="35" t="n"/>
      <c r="D3273" s="35" t="n"/>
    </row>
    <row r="3274">
      <c r="A3274" s="35" t="n"/>
      <c r="B3274" s="35" t="n"/>
      <c r="C3274" s="35" t="n"/>
      <c r="D3274" s="35" t="n"/>
    </row>
    <row r="3275">
      <c r="A3275" s="35" t="n"/>
      <c r="B3275" s="35" t="n"/>
      <c r="C3275" s="35" t="n"/>
      <c r="D3275" s="35" t="n"/>
    </row>
    <row r="3276">
      <c r="A3276" s="35" t="n"/>
      <c r="B3276" s="35" t="n"/>
      <c r="C3276" s="35" t="n"/>
      <c r="D3276" s="35" t="n"/>
    </row>
    <row r="3277">
      <c r="A3277" s="35" t="n"/>
      <c r="B3277" s="35" t="n"/>
      <c r="C3277" s="35" t="n"/>
      <c r="D3277" s="35" t="n"/>
    </row>
    <row r="3278">
      <c r="A3278" s="35" t="n"/>
      <c r="B3278" s="35" t="n"/>
      <c r="C3278" s="35" t="n"/>
      <c r="D3278" s="35" t="n"/>
    </row>
    <row r="3279">
      <c r="A3279" s="35" t="n"/>
      <c r="B3279" s="35" t="n"/>
      <c r="C3279" s="35" t="n"/>
      <c r="D3279" s="35" t="n"/>
    </row>
    <row r="3280">
      <c r="A3280" s="35" t="n"/>
      <c r="B3280" s="35" t="n"/>
      <c r="C3280" s="35" t="n"/>
      <c r="D3280" s="35" t="n"/>
    </row>
    <row r="3281">
      <c r="A3281" s="35" t="n"/>
      <c r="B3281" s="35" t="n"/>
      <c r="C3281" s="35" t="n"/>
      <c r="D3281" s="35" t="n"/>
    </row>
    <row r="3282">
      <c r="A3282" s="35" t="n"/>
      <c r="B3282" s="35" t="n"/>
      <c r="C3282" s="35" t="n"/>
      <c r="D3282" s="35" t="n"/>
    </row>
    <row r="3283">
      <c r="A3283" s="35" t="n"/>
      <c r="B3283" s="35" t="n"/>
      <c r="C3283" s="35" t="n"/>
      <c r="D3283" s="35" t="n"/>
    </row>
    <row r="3284">
      <c r="A3284" s="35" t="n"/>
      <c r="B3284" s="35" t="n"/>
      <c r="C3284" s="35" t="n"/>
      <c r="D3284" s="35" t="n"/>
    </row>
    <row r="3285">
      <c r="A3285" s="35" t="n"/>
      <c r="B3285" s="35" t="n"/>
      <c r="C3285" s="35" t="n"/>
      <c r="D3285" s="35" t="n"/>
    </row>
    <row r="3286">
      <c r="A3286" s="35" t="n"/>
      <c r="B3286" s="35" t="n"/>
      <c r="C3286" s="35" t="n"/>
      <c r="D3286" s="35" t="n"/>
    </row>
    <row r="3287">
      <c r="A3287" s="35" t="n"/>
      <c r="B3287" s="35" t="n"/>
      <c r="C3287" s="35" t="n"/>
      <c r="D3287" s="35" t="n"/>
    </row>
    <row r="3288">
      <c r="A3288" s="35" t="n"/>
      <c r="B3288" s="35" t="n"/>
      <c r="C3288" s="35" t="n"/>
      <c r="D3288" s="35" t="n"/>
    </row>
    <row r="3289">
      <c r="A3289" s="35" t="n"/>
      <c r="B3289" s="35" t="n"/>
      <c r="C3289" s="35" t="n"/>
      <c r="D3289" s="35" t="n"/>
    </row>
    <row r="3290">
      <c r="A3290" s="35" t="n"/>
      <c r="B3290" s="35" t="n"/>
      <c r="C3290" s="35" t="n"/>
      <c r="D3290" s="35" t="n"/>
    </row>
    <row r="3291">
      <c r="A3291" s="35" t="n"/>
      <c r="B3291" s="35" t="n"/>
      <c r="C3291" s="35" t="n"/>
      <c r="D3291" s="35" t="n"/>
    </row>
    <row r="3292">
      <c r="A3292" s="35" t="n"/>
      <c r="B3292" s="35" t="n"/>
      <c r="C3292" s="35" t="n"/>
      <c r="D3292" s="35" t="n"/>
    </row>
    <row r="3293">
      <c r="A3293" s="35" t="n"/>
      <c r="B3293" s="35" t="n"/>
      <c r="C3293" s="35" t="n"/>
      <c r="D3293" s="35" t="n"/>
    </row>
    <row r="3294">
      <c r="A3294" s="35" t="n"/>
      <c r="B3294" s="35" t="n"/>
      <c r="C3294" s="35" t="n"/>
      <c r="D3294" s="35" t="n"/>
    </row>
    <row r="3295">
      <c r="A3295" s="35" t="n"/>
      <c r="B3295" s="35" t="n"/>
      <c r="C3295" s="35" t="n"/>
      <c r="D3295" s="35" t="n"/>
    </row>
    <row r="3296">
      <c r="A3296" s="35" t="n"/>
      <c r="B3296" s="35" t="n"/>
      <c r="C3296" s="35" t="n"/>
      <c r="D3296" s="35" t="n"/>
    </row>
    <row r="3297">
      <c r="A3297" s="35" t="n"/>
      <c r="B3297" s="35" t="n"/>
      <c r="C3297" s="35" t="n"/>
      <c r="D3297" s="35" t="n"/>
    </row>
    <row r="3298">
      <c r="A3298" s="35" t="n"/>
      <c r="B3298" s="35" t="n"/>
      <c r="C3298" s="35" t="n"/>
      <c r="D3298" s="35" t="n"/>
    </row>
    <row r="3299">
      <c r="A3299" s="35" t="n"/>
      <c r="B3299" s="35" t="n"/>
      <c r="C3299" s="35" t="n"/>
      <c r="D3299" s="35" t="n"/>
    </row>
    <row r="3300">
      <c r="A3300" s="35" t="n"/>
      <c r="B3300" s="35" t="n"/>
      <c r="C3300" s="35" t="n"/>
      <c r="D3300" s="35" t="n"/>
    </row>
    <row r="3301">
      <c r="A3301" s="35" t="n"/>
      <c r="B3301" s="35" t="n"/>
      <c r="C3301" s="35" t="n"/>
      <c r="D3301" s="35" t="n"/>
    </row>
    <row r="3302">
      <c r="A3302" s="35" t="n"/>
      <c r="B3302" s="35" t="n"/>
      <c r="C3302" s="35" t="n"/>
      <c r="D3302" s="35" t="n"/>
    </row>
    <row r="3303">
      <c r="A3303" s="35" t="n"/>
      <c r="B3303" s="35" t="n"/>
      <c r="C3303" s="35" t="n"/>
      <c r="D3303" s="35" t="n"/>
    </row>
    <row r="3304">
      <c r="A3304" s="35" t="n"/>
      <c r="B3304" s="35" t="n"/>
      <c r="C3304" s="35" t="n"/>
      <c r="D3304" s="35" t="n"/>
    </row>
    <row r="3305">
      <c r="A3305" s="35" t="n"/>
      <c r="B3305" s="35" t="n"/>
      <c r="C3305" s="35" t="n"/>
      <c r="D3305" s="35" t="n"/>
    </row>
    <row r="3306">
      <c r="A3306" s="35" t="n"/>
      <c r="B3306" s="35" t="n"/>
      <c r="C3306" s="35" t="n"/>
      <c r="D3306" s="35" t="n"/>
    </row>
    <row r="3307">
      <c r="A3307" s="35" t="n"/>
      <c r="B3307" s="35" t="n"/>
      <c r="C3307" s="35" t="n"/>
      <c r="D3307" s="35" t="n"/>
    </row>
    <row r="3308">
      <c r="A3308" s="35" t="n"/>
      <c r="B3308" s="35" t="n"/>
      <c r="C3308" s="35" t="n"/>
      <c r="D3308" s="35" t="n"/>
    </row>
    <row r="3309">
      <c r="A3309" s="35" t="n"/>
      <c r="B3309" s="35" t="n"/>
      <c r="C3309" s="35" t="n"/>
      <c r="D3309" s="35" t="n"/>
    </row>
    <row r="3310">
      <c r="A3310" s="35" t="n"/>
      <c r="B3310" s="35" t="n"/>
      <c r="C3310" s="35" t="n"/>
      <c r="D3310" s="35" t="n"/>
    </row>
    <row r="3311">
      <c r="A3311" s="35" t="n"/>
      <c r="B3311" s="35" t="n"/>
      <c r="C3311" s="35" t="n"/>
      <c r="D3311" s="35" t="n"/>
    </row>
    <row r="3312">
      <c r="A3312" s="35" t="n"/>
      <c r="B3312" s="35" t="n"/>
      <c r="C3312" s="35" t="n"/>
      <c r="D3312" s="35" t="n"/>
    </row>
    <row r="3313">
      <c r="A3313" s="35" t="n"/>
      <c r="B3313" s="35" t="n"/>
      <c r="C3313" s="35" t="n"/>
      <c r="D3313" s="35" t="n"/>
    </row>
    <row r="3314">
      <c r="A3314" s="35" t="n"/>
      <c r="B3314" s="35" t="n"/>
      <c r="C3314" s="35" t="n"/>
      <c r="D3314" s="35" t="n"/>
    </row>
    <row r="3315">
      <c r="A3315" s="35" t="n"/>
      <c r="B3315" s="35" t="n"/>
      <c r="C3315" s="35" t="n"/>
      <c r="D3315" s="35" t="n"/>
    </row>
    <row r="3316">
      <c r="A3316" s="35" t="n"/>
      <c r="B3316" s="35" t="n"/>
      <c r="C3316" s="35" t="n"/>
      <c r="D3316" s="35" t="n"/>
    </row>
    <row r="3317">
      <c r="A3317" s="35" t="n"/>
      <c r="B3317" s="35" t="n"/>
      <c r="C3317" s="35" t="n"/>
      <c r="D3317" s="35" t="n"/>
    </row>
    <row r="3318">
      <c r="A3318" s="35" t="n"/>
      <c r="B3318" s="35" t="n"/>
      <c r="C3318" s="35" t="n"/>
      <c r="D3318" s="35" t="n"/>
    </row>
    <row r="3319">
      <c r="A3319" s="35" t="n"/>
      <c r="B3319" s="35" t="n"/>
      <c r="C3319" s="35" t="n"/>
      <c r="D3319" s="35" t="n"/>
    </row>
    <row r="3320">
      <c r="A3320" s="35" t="n"/>
      <c r="B3320" s="35" t="n"/>
      <c r="C3320" s="35" t="n"/>
      <c r="D3320" s="35" t="n"/>
    </row>
    <row r="3321">
      <c r="A3321" s="35" t="n"/>
      <c r="B3321" s="35" t="n"/>
      <c r="C3321" s="35" t="n"/>
      <c r="D3321" s="35" t="n"/>
    </row>
    <row r="3322">
      <c r="A3322" s="35" t="n"/>
      <c r="B3322" s="35" t="n"/>
      <c r="C3322" s="35" t="n"/>
      <c r="D3322" s="35" t="n"/>
    </row>
    <row r="3323">
      <c r="A3323" s="35" t="n"/>
      <c r="B3323" s="35" t="n"/>
      <c r="C3323" s="35" t="n"/>
      <c r="D3323" s="35" t="n"/>
    </row>
    <row r="3324">
      <c r="A3324" s="35" t="n"/>
      <c r="B3324" s="35" t="n"/>
      <c r="C3324" s="35" t="n"/>
      <c r="D3324" s="35" t="n"/>
    </row>
    <row r="3325">
      <c r="A3325" s="35" t="n"/>
      <c r="B3325" s="35" t="n"/>
      <c r="C3325" s="35" t="n"/>
      <c r="D3325" s="35" t="n"/>
    </row>
    <row r="3326">
      <c r="A3326" s="35" t="n"/>
      <c r="B3326" s="35" t="n"/>
      <c r="C3326" s="35" t="n"/>
      <c r="D3326" s="35" t="n"/>
    </row>
    <row r="3327">
      <c r="A3327" s="35" t="n"/>
      <c r="B3327" s="35" t="n"/>
      <c r="C3327" s="35" t="n"/>
      <c r="D3327" s="35" t="n"/>
    </row>
    <row r="3328">
      <c r="A3328" s="35" t="n"/>
      <c r="B3328" s="35" t="n"/>
      <c r="C3328" s="35" t="n"/>
      <c r="D3328" s="35" t="n"/>
    </row>
    <row r="3329">
      <c r="A3329" s="35" t="n"/>
      <c r="B3329" s="35" t="n"/>
      <c r="C3329" s="35" t="n"/>
      <c r="D3329" s="35" t="n"/>
    </row>
    <row r="3330">
      <c r="A3330" s="35" t="n"/>
      <c r="B3330" s="35" t="n"/>
      <c r="C3330" s="35" t="n"/>
      <c r="D3330" s="35" t="n"/>
    </row>
    <row r="3331">
      <c r="A3331" s="35" t="n"/>
      <c r="B3331" s="35" t="n"/>
      <c r="C3331" s="35" t="n"/>
      <c r="D3331" s="35" t="n"/>
    </row>
    <row r="3332">
      <c r="A3332" s="35" t="n"/>
      <c r="B3332" s="35" t="n"/>
      <c r="C3332" s="35" t="n"/>
      <c r="D3332" s="35" t="n"/>
    </row>
    <row r="3333">
      <c r="A3333" s="35" t="n"/>
      <c r="B3333" s="35" t="n"/>
      <c r="C3333" s="35" t="n"/>
      <c r="D3333" s="35" t="n"/>
    </row>
    <row r="3334">
      <c r="A3334" s="35" t="n"/>
      <c r="B3334" s="35" t="n"/>
      <c r="C3334" s="35" t="n"/>
      <c r="D3334" s="35" t="n"/>
    </row>
    <row r="3335">
      <c r="A3335" s="35" t="n"/>
      <c r="B3335" s="35" t="n"/>
      <c r="C3335" s="35" t="n"/>
      <c r="D3335" s="35" t="n"/>
    </row>
    <row r="3336">
      <c r="A3336" s="35" t="n"/>
      <c r="B3336" s="35" t="n"/>
      <c r="C3336" s="35" t="n"/>
      <c r="D3336" s="35" t="n"/>
    </row>
    <row r="3337">
      <c r="A3337" s="35" t="n"/>
      <c r="B3337" s="35" t="n"/>
      <c r="C3337" s="35" t="n"/>
      <c r="D3337" s="35" t="n"/>
    </row>
    <row r="3338">
      <c r="A3338" s="35" t="n"/>
      <c r="B3338" s="35" t="n"/>
      <c r="C3338" s="35" t="n"/>
      <c r="D3338" s="35" t="n"/>
    </row>
    <row r="3339">
      <c r="A3339" s="35" t="n"/>
      <c r="B3339" s="35" t="n"/>
      <c r="C3339" s="35" t="n"/>
      <c r="D3339" s="35" t="n"/>
    </row>
    <row r="3340">
      <c r="A3340" s="35" t="n"/>
      <c r="B3340" s="35" t="n"/>
      <c r="C3340" s="35" t="n"/>
      <c r="D3340" s="35" t="n"/>
    </row>
    <row r="3341">
      <c r="A3341" s="35" t="n"/>
      <c r="B3341" s="35" t="n"/>
      <c r="C3341" s="35" t="n"/>
      <c r="D3341" s="35" t="n"/>
    </row>
    <row r="3342">
      <c r="A3342" s="35" t="n"/>
      <c r="B3342" s="35" t="n"/>
      <c r="C3342" s="35" t="n"/>
      <c r="D3342" s="35" t="n"/>
    </row>
    <row r="3343">
      <c r="A3343" s="35" t="n"/>
      <c r="B3343" s="35" t="n"/>
      <c r="C3343" s="35" t="n"/>
      <c r="D3343" s="35" t="n"/>
    </row>
    <row r="3344">
      <c r="A3344" s="35" t="n"/>
      <c r="B3344" s="35" t="n"/>
      <c r="C3344" s="35" t="n"/>
      <c r="D3344" s="35" t="n"/>
    </row>
    <row r="3345">
      <c r="A3345" s="35" t="n"/>
      <c r="B3345" s="35" t="n"/>
      <c r="C3345" s="35" t="n"/>
      <c r="D3345" s="35" t="n"/>
    </row>
    <row r="3346">
      <c r="A3346" s="35" t="n"/>
      <c r="B3346" s="35" t="n"/>
      <c r="C3346" s="35" t="n"/>
      <c r="D3346" s="35" t="n"/>
    </row>
    <row r="3347">
      <c r="A3347" s="35" t="n"/>
      <c r="B3347" s="35" t="n"/>
      <c r="C3347" s="35" t="n"/>
      <c r="D3347" s="35" t="n"/>
    </row>
    <row r="3348">
      <c r="A3348" s="35" t="n"/>
      <c r="B3348" s="35" t="n"/>
      <c r="C3348" s="35" t="n"/>
      <c r="D3348" s="35" t="n"/>
    </row>
    <row r="3349">
      <c r="A3349" s="35" t="n"/>
      <c r="B3349" s="35" t="n"/>
      <c r="C3349" s="35" t="n"/>
      <c r="D3349" s="35" t="n"/>
    </row>
    <row r="3350">
      <c r="A3350" s="35" t="n"/>
      <c r="B3350" s="35" t="n"/>
      <c r="C3350" s="35" t="n"/>
      <c r="D3350" s="35" t="n"/>
    </row>
    <row r="3351">
      <c r="A3351" s="35" t="n"/>
      <c r="B3351" s="35" t="n"/>
      <c r="C3351" s="35" t="n"/>
      <c r="D3351" s="35" t="n"/>
    </row>
    <row r="3352">
      <c r="A3352" s="35" t="n"/>
      <c r="B3352" s="35" t="n"/>
      <c r="C3352" s="35" t="n"/>
      <c r="D3352" s="35" t="n"/>
    </row>
    <row r="3353">
      <c r="A3353" s="35" t="n"/>
      <c r="B3353" s="35" t="n"/>
      <c r="C3353" s="35" t="n"/>
      <c r="D3353" s="35" t="n"/>
    </row>
    <row r="3354">
      <c r="A3354" s="35" t="n"/>
      <c r="B3354" s="35" t="n"/>
      <c r="C3354" s="35" t="n"/>
      <c r="D3354" s="35" t="n"/>
    </row>
    <row r="3355">
      <c r="A3355" s="35" t="n"/>
      <c r="B3355" s="35" t="n"/>
      <c r="C3355" s="35" t="n"/>
      <c r="D3355" s="35" t="n"/>
    </row>
    <row r="3356">
      <c r="A3356" s="35" t="n"/>
      <c r="B3356" s="35" t="n"/>
      <c r="C3356" s="35" t="n"/>
      <c r="D3356" s="35" t="n"/>
    </row>
    <row r="3357">
      <c r="A3357" s="35" t="n"/>
      <c r="B3357" s="35" t="n"/>
      <c r="C3357" s="35" t="n"/>
      <c r="D3357" s="35" t="n"/>
    </row>
    <row r="3358">
      <c r="A3358" s="35" t="n"/>
      <c r="B3358" s="35" t="n"/>
      <c r="C3358" s="35" t="n"/>
      <c r="D3358" s="35" t="n"/>
    </row>
    <row r="3359">
      <c r="A3359" s="35" t="n"/>
      <c r="B3359" s="35" t="n"/>
      <c r="C3359" s="35" t="n"/>
      <c r="D3359" s="35" t="n"/>
    </row>
    <row r="3360">
      <c r="A3360" s="35" t="n"/>
      <c r="B3360" s="35" t="n"/>
      <c r="C3360" s="35" t="n"/>
      <c r="D3360" s="35" t="n"/>
    </row>
    <row r="3361">
      <c r="A3361" s="35" t="n"/>
      <c r="B3361" s="35" t="n"/>
      <c r="C3361" s="35" t="n"/>
      <c r="D3361" s="35" t="n"/>
    </row>
    <row r="3362">
      <c r="A3362" s="35" t="n"/>
      <c r="B3362" s="35" t="n"/>
      <c r="C3362" s="35" t="n"/>
      <c r="D3362" s="35" t="n"/>
    </row>
    <row r="3363">
      <c r="A3363" s="35" t="n"/>
      <c r="B3363" s="35" t="n"/>
      <c r="C3363" s="35" t="n"/>
      <c r="D3363" s="35" t="n"/>
    </row>
    <row r="3364">
      <c r="A3364" s="35" t="n"/>
      <c r="B3364" s="35" t="n"/>
      <c r="C3364" s="35" t="n"/>
      <c r="D3364" s="35" t="n"/>
    </row>
    <row r="3365">
      <c r="A3365" s="35" t="n"/>
      <c r="B3365" s="35" t="n"/>
      <c r="C3365" s="35" t="n"/>
      <c r="D3365" s="35" t="n"/>
    </row>
    <row r="3366">
      <c r="A3366" s="35" t="n"/>
      <c r="B3366" s="35" t="n"/>
      <c r="C3366" s="35" t="n"/>
      <c r="D3366" s="35" t="n"/>
    </row>
    <row r="3367">
      <c r="A3367" s="35" t="n"/>
      <c r="B3367" s="35" t="n"/>
      <c r="C3367" s="35" t="n"/>
      <c r="D3367" s="35" t="n"/>
    </row>
    <row r="3368">
      <c r="A3368" s="35" t="n"/>
      <c r="B3368" s="35" t="n"/>
      <c r="C3368" s="35" t="n"/>
      <c r="D3368" s="35" t="n"/>
    </row>
    <row r="3369">
      <c r="A3369" s="35" t="n"/>
      <c r="B3369" s="35" t="n"/>
      <c r="C3369" s="35" t="n"/>
      <c r="D3369" s="35" t="n"/>
    </row>
    <row r="3370">
      <c r="A3370" s="35" t="n"/>
      <c r="B3370" s="35" t="n"/>
      <c r="C3370" s="35" t="n"/>
      <c r="D3370" s="35" t="n"/>
    </row>
    <row r="3371">
      <c r="A3371" s="35" t="n"/>
      <c r="B3371" s="35" t="n"/>
      <c r="C3371" s="35" t="n"/>
      <c r="D3371" s="35" t="n"/>
    </row>
    <row r="3372">
      <c r="A3372" s="35" t="n"/>
      <c r="B3372" s="35" t="n"/>
      <c r="C3372" s="35" t="n"/>
      <c r="D3372" s="35" t="n"/>
    </row>
    <row r="3373">
      <c r="A3373" s="35" t="n"/>
      <c r="B3373" s="35" t="n"/>
      <c r="C3373" s="35" t="n"/>
      <c r="D3373" s="35" t="n"/>
    </row>
    <row r="3374">
      <c r="A3374" s="35" t="n"/>
      <c r="B3374" s="35" t="n"/>
      <c r="C3374" s="35" t="n"/>
      <c r="D3374" s="35" t="n"/>
    </row>
    <row r="3375">
      <c r="A3375" s="35" t="n"/>
      <c r="B3375" s="35" t="n"/>
      <c r="C3375" s="35" t="n"/>
      <c r="D3375" s="35" t="n"/>
    </row>
    <row r="3376">
      <c r="A3376" s="35" t="n"/>
      <c r="B3376" s="35" t="n"/>
      <c r="C3376" s="35" t="n"/>
      <c r="D3376" s="35" t="n"/>
    </row>
    <row r="3377">
      <c r="A3377" s="35" t="n"/>
      <c r="B3377" s="35" t="n"/>
      <c r="C3377" s="35" t="n"/>
      <c r="D3377" s="35" t="n"/>
    </row>
    <row r="3378">
      <c r="A3378" s="35" t="n"/>
      <c r="B3378" s="35" t="n"/>
      <c r="C3378" s="35" t="n"/>
      <c r="D3378" s="35" t="n"/>
    </row>
    <row r="3379">
      <c r="A3379" s="35" t="n"/>
      <c r="B3379" s="35" t="n"/>
      <c r="C3379" s="35" t="n"/>
      <c r="D3379" s="35" t="n"/>
    </row>
    <row r="3380">
      <c r="A3380" s="35" t="n"/>
      <c r="B3380" s="35" t="n"/>
      <c r="C3380" s="35" t="n"/>
      <c r="D3380" s="35" t="n"/>
    </row>
    <row r="3381">
      <c r="A3381" s="35" t="n"/>
      <c r="B3381" s="35" t="n"/>
      <c r="C3381" s="35" t="n"/>
      <c r="D3381" s="35" t="n"/>
    </row>
    <row r="3382">
      <c r="A3382" s="35" t="n"/>
      <c r="B3382" s="35" t="n"/>
      <c r="C3382" s="35" t="n"/>
      <c r="D3382" s="35" t="n"/>
    </row>
    <row r="3383">
      <c r="A3383" s="35" t="n"/>
      <c r="B3383" s="35" t="n"/>
      <c r="C3383" s="35" t="n"/>
      <c r="D3383" s="35" t="n"/>
    </row>
    <row r="3384">
      <c r="A3384" s="35" t="n"/>
      <c r="B3384" s="35" t="n"/>
      <c r="C3384" s="35" t="n"/>
      <c r="D3384" s="35" t="n"/>
    </row>
    <row r="3385">
      <c r="A3385" s="35" t="n"/>
      <c r="B3385" s="35" t="n"/>
      <c r="C3385" s="35" t="n"/>
      <c r="D3385" s="35" t="n"/>
    </row>
    <row r="3386">
      <c r="A3386" s="35" t="n"/>
      <c r="B3386" s="35" t="n"/>
      <c r="C3386" s="35" t="n"/>
      <c r="D3386" s="35" t="n"/>
    </row>
    <row r="3387">
      <c r="A3387" s="35" t="n"/>
      <c r="B3387" s="35" t="n"/>
      <c r="C3387" s="35" t="n"/>
      <c r="D3387" s="35" t="n"/>
    </row>
    <row r="3388">
      <c r="A3388" s="35" t="n"/>
      <c r="B3388" s="35" t="n"/>
      <c r="C3388" s="35" t="n"/>
      <c r="D3388" s="35" t="n"/>
    </row>
    <row r="3389">
      <c r="A3389" s="35" t="n"/>
      <c r="B3389" s="35" t="n"/>
      <c r="C3389" s="35" t="n"/>
      <c r="D3389" s="35" t="n"/>
    </row>
    <row r="3390">
      <c r="A3390" s="35" t="n"/>
      <c r="B3390" s="35" t="n"/>
      <c r="C3390" s="35" t="n"/>
      <c r="D3390" s="35" t="n"/>
    </row>
    <row r="3391">
      <c r="A3391" s="35" t="n"/>
      <c r="B3391" s="35" t="n"/>
      <c r="C3391" s="35" t="n"/>
      <c r="D3391" s="35" t="n"/>
    </row>
    <row r="3392">
      <c r="A3392" s="35" t="n"/>
      <c r="B3392" s="35" t="n"/>
      <c r="C3392" s="35" t="n"/>
      <c r="D3392" s="35" t="n"/>
    </row>
    <row r="3393">
      <c r="A3393" s="35" t="n"/>
      <c r="B3393" s="35" t="n"/>
      <c r="C3393" s="35" t="n"/>
      <c r="D3393" s="35" t="n"/>
    </row>
    <row r="3394">
      <c r="A3394" s="35" t="n"/>
      <c r="B3394" s="35" t="n"/>
      <c r="C3394" s="35" t="n"/>
      <c r="D3394" s="35" t="n"/>
    </row>
    <row r="3395">
      <c r="A3395" s="35" t="n"/>
      <c r="B3395" s="35" t="n"/>
      <c r="C3395" s="35" t="n"/>
      <c r="D3395" s="35" t="n"/>
    </row>
    <row r="3396">
      <c r="A3396" s="35" t="n"/>
      <c r="B3396" s="35" t="n"/>
      <c r="C3396" s="35" t="n"/>
      <c r="D3396" s="35" t="n"/>
    </row>
    <row r="3397">
      <c r="A3397" s="35" t="n"/>
      <c r="B3397" s="35" t="n"/>
      <c r="C3397" s="35" t="n"/>
      <c r="D3397" s="35" t="n"/>
    </row>
    <row r="3398">
      <c r="A3398" s="35" t="n"/>
      <c r="B3398" s="35" t="n"/>
      <c r="C3398" s="35" t="n"/>
      <c r="D3398" s="35" t="n"/>
    </row>
    <row r="3399">
      <c r="A3399" s="35" t="n"/>
      <c r="B3399" s="35" t="n"/>
      <c r="C3399" s="35" t="n"/>
      <c r="D3399" s="35" t="n"/>
    </row>
    <row r="3400">
      <c r="A3400" s="35" t="n"/>
      <c r="B3400" s="35" t="n"/>
      <c r="C3400" s="35" t="n"/>
      <c r="D3400" s="35" t="n"/>
    </row>
    <row r="3401">
      <c r="A3401" s="35" t="n"/>
      <c r="B3401" s="35" t="n"/>
      <c r="C3401" s="35" t="n"/>
      <c r="D3401" s="35" t="n"/>
    </row>
    <row r="3402">
      <c r="A3402" s="35" t="n"/>
      <c r="B3402" s="35" t="n"/>
      <c r="C3402" s="35" t="n"/>
      <c r="D3402" s="35" t="n"/>
    </row>
    <row r="3403">
      <c r="A3403" s="35" t="n"/>
      <c r="B3403" s="35" t="n"/>
      <c r="C3403" s="35" t="n"/>
      <c r="D3403" s="35" t="n"/>
    </row>
    <row r="3404">
      <c r="A3404" s="35" t="n"/>
      <c r="B3404" s="35" t="n"/>
      <c r="C3404" s="35" t="n"/>
      <c r="D3404" s="35" t="n"/>
    </row>
    <row r="3405">
      <c r="A3405" s="35" t="n"/>
      <c r="B3405" s="35" t="n"/>
      <c r="C3405" s="35" t="n"/>
      <c r="D3405" s="35" t="n"/>
    </row>
    <row r="3406">
      <c r="A3406" s="35" t="n"/>
      <c r="B3406" s="35" t="n"/>
      <c r="C3406" s="35" t="n"/>
      <c r="D3406" s="35" t="n"/>
    </row>
    <row r="3407">
      <c r="A3407" s="35" t="n"/>
      <c r="B3407" s="35" t="n"/>
      <c r="C3407" s="35" t="n"/>
      <c r="D3407" s="35" t="n"/>
    </row>
    <row r="3408">
      <c r="A3408" s="35" t="n"/>
      <c r="B3408" s="35" t="n"/>
      <c r="C3408" s="35" t="n"/>
      <c r="D3408" s="35" t="n"/>
    </row>
    <row r="3409">
      <c r="A3409" s="35" t="n"/>
      <c r="B3409" s="35" t="n"/>
      <c r="C3409" s="35" t="n"/>
      <c r="D3409" s="35" t="n"/>
    </row>
    <row r="3410">
      <c r="A3410" s="35" t="n"/>
      <c r="B3410" s="35" t="n"/>
      <c r="C3410" s="35" t="n"/>
      <c r="D3410" s="35" t="n"/>
    </row>
    <row r="3411">
      <c r="A3411" s="35" t="n"/>
      <c r="B3411" s="35" t="n"/>
      <c r="C3411" s="35" t="n"/>
      <c r="D3411" s="35" t="n"/>
    </row>
    <row r="3412">
      <c r="A3412" s="35" t="n"/>
      <c r="B3412" s="35" t="n"/>
      <c r="C3412" s="35" t="n"/>
      <c r="D3412" s="35" t="n"/>
    </row>
    <row r="3413">
      <c r="A3413" s="35" t="n"/>
      <c r="B3413" s="35" t="n"/>
      <c r="C3413" s="35" t="n"/>
      <c r="D3413" s="35" t="n"/>
    </row>
    <row r="3414">
      <c r="A3414" s="35" t="n"/>
      <c r="B3414" s="35" t="n"/>
      <c r="C3414" s="35" t="n"/>
      <c r="D3414" s="35" t="n"/>
    </row>
    <row r="3415">
      <c r="A3415" s="35" t="n"/>
      <c r="B3415" s="35" t="n"/>
      <c r="C3415" s="35" t="n"/>
      <c r="D3415" s="35" t="n"/>
    </row>
    <row r="3416">
      <c r="A3416" s="35" t="n"/>
      <c r="B3416" s="35" t="n"/>
      <c r="C3416" s="35" t="n"/>
      <c r="D3416" s="35" t="n"/>
    </row>
    <row r="3417">
      <c r="A3417" s="35" t="n"/>
      <c r="B3417" s="35" t="n"/>
      <c r="C3417" s="35" t="n"/>
      <c r="D3417" s="35" t="n"/>
    </row>
    <row r="3418">
      <c r="A3418" s="35" t="n"/>
      <c r="B3418" s="35" t="n"/>
      <c r="C3418" s="35" t="n"/>
      <c r="D3418" s="35" t="n"/>
    </row>
    <row r="3419">
      <c r="A3419" s="35" t="n"/>
      <c r="B3419" s="35" t="n"/>
      <c r="C3419" s="35" t="n"/>
      <c r="D3419" s="35" t="n"/>
    </row>
    <row r="3420">
      <c r="A3420" s="35" t="n"/>
      <c r="B3420" s="35" t="n"/>
      <c r="C3420" s="35" t="n"/>
      <c r="D3420" s="35" t="n"/>
    </row>
    <row r="3421">
      <c r="A3421" s="35" t="n"/>
      <c r="B3421" s="35" t="n"/>
      <c r="C3421" s="35" t="n"/>
      <c r="D3421" s="35" t="n"/>
    </row>
    <row r="3422">
      <c r="A3422" s="35" t="n"/>
      <c r="B3422" s="35" t="n"/>
      <c r="C3422" s="35" t="n"/>
      <c r="D3422" s="35" t="n"/>
    </row>
    <row r="3423">
      <c r="A3423" s="35" t="n"/>
      <c r="B3423" s="35" t="n"/>
      <c r="C3423" s="35" t="n"/>
      <c r="D3423" s="35" t="n"/>
    </row>
    <row r="3424">
      <c r="A3424" s="35" t="n"/>
      <c r="B3424" s="35" t="n"/>
      <c r="C3424" s="35" t="n"/>
      <c r="D3424" s="35" t="n"/>
    </row>
    <row r="3425">
      <c r="A3425" s="35" t="n"/>
      <c r="B3425" s="35" t="n"/>
      <c r="C3425" s="35" t="n"/>
      <c r="D3425" s="35" t="n"/>
    </row>
    <row r="3426">
      <c r="A3426" s="35" t="n"/>
      <c r="B3426" s="35" t="n"/>
      <c r="C3426" s="35" t="n"/>
      <c r="D3426" s="35" t="n"/>
    </row>
    <row r="3427">
      <c r="A3427" s="35" t="n"/>
      <c r="B3427" s="35" t="n"/>
      <c r="C3427" s="35" t="n"/>
      <c r="D3427" s="35" t="n"/>
    </row>
    <row r="3428">
      <c r="A3428" s="35" t="n"/>
      <c r="B3428" s="35" t="n"/>
      <c r="C3428" s="35" t="n"/>
      <c r="D3428" s="35" t="n"/>
    </row>
    <row r="3429">
      <c r="A3429" s="35" t="n"/>
      <c r="B3429" s="35" t="n"/>
      <c r="C3429" s="35" t="n"/>
      <c r="D3429" s="35" t="n"/>
    </row>
    <row r="3430">
      <c r="A3430" s="35" t="n"/>
      <c r="B3430" s="35" t="n"/>
      <c r="C3430" s="35" t="n"/>
      <c r="D3430" s="35" t="n"/>
    </row>
    <row r="3431">
      <c r="A3431" s="35" t="n"/>
      <c r="B3431" s="35" t="n"/>
      <c r="C3431" s="35" t="n"/>
      <c r="D3431" s="35" t="n"/>
    </row>
    <row r="3432">
      <c r="A3432" s="35" t="n"/>
      <c r="B3432" s="35" t="n"/>
      <c r="C3432" s="35" t="n"/>
      <c r="D3432" s="35" t="n"/>
    </row>
    <row r="3433">
      <c r="A3433" s="35" t="n"/>
      <c r="B3433" s="35" t="n"/>
      <c r="C3433" s="35" t="n"/>
      <c r="D3433" s="35" t="n"/>
    </row>
    <row r="3434">
      <c r="A3434" s="35" t="n"/>
      <c r="B3434" s="35" t="n"/>
      <c r="C3434" s="35" t="n"/>
      <c r="D3434" s="35" t="n"/>
    </row>
    <row r="3435">
      <c r="A3435" s="35" t="n"/>
      <c r="B3435" s="35" t="n"/>
      <c r="C3435" s="35" t="n"/>
      <c r="D3435" s="35" t="n"/>
    </row>
    <row r="3436">
      <c r="A3436" s="35" t="n"/>
      <c r="B3436" s="35" t="n"/>
      <c r="C3436" s="35" t="n"/>
      <c r="D3436" s="35" t="n"/>
    </row>
    <row r="3437">
      <c r="A3437" s="35" t="n"/>
      <c r="B3437" s="35" t="n"/>
      <c r="C3437" s="35" t="n"/>
      <c r="D3437" s="35" t="n"/>
    </row>
    <row r="3438">
      <c r="A3438" s="35" t="n"/>
      <c r="B3438" s="35" t="n"/>
      <c r="C3438" s="35" t="n"/>
      <c r="D3438" s="35" t="n"/>
    </row>
    <row r="3439">
      <c r="A3439" s="35" t="n"/>
      <c r="B3439" s="35" t="n"/>
      <c r="C3439" s="35" t="n"/>
      <c r="D3439" s="35" t="n"/>
    </row>
    <row r="3440">
      <c r="A3440" s="35" t="n"/>
      <c r="B3440" s="35" t="n"/>
      <c r="C3440" s="35" t="n"/>
      <c r="D3440" s="35" t="n"/>
    </row>
    <row r="3441">
      <c r="A3441" s="35" t="n"/>
      <c r="B3441" s="35" t="n"/>
      <c r="C3441" s="35" t="n"/>
      <c r="D3441" s="35" t="n"/>
    </row>
    <row r="3442">
      <c r="A3442" s="35" t="n"/>
      <c r="B3442" s="35" t="n"/>
      <c r="C3442" s="35" t="n"/>
      <c r="D3442" s="35" t="n"/>
    </row>
    <row r="3443">
      <c r="A3443" s="35" t="n"/>
      <c r="B3443" s="35" t="n"/>
      <c r="C3443" s="35" t="n"/>
      <c r="D3443" s="35" t="n"/>
    </row>
    <row r="3444">
      <c r="A3444" s="35" t="n"/>
      <c r="B3444" s="35" t="n"/>
      <c r="C3444" s="35" t="n"/>
      <c r="D3444" s="35" t="n"/>
    </row>
    <row r="3445">
      <c r="A3445" s="35" t="n"/>
      <c r="B3445" s="35" t="n"/>
      <c r="C3445" s="35" t="n"/>
      <c r="D3445" s="35" t="n"/>
    </row>
    <row r="3446">
      <c r="A3446" s="35" t="n"/>
      <c r="B3446" s="35" t="n"/>
      <c r="C3446" s="35" t="n"/>
      <c r="D3446" s="35" t="n"/>
    </row>
    <row r="3447">
      <c r="A3447" s="35" t="n"/>
      <c r="B3447" s="35" t="n"/>
      <c r="C3447" s="35" t="n"/>
      <c r="D3447" s="35" t="n"/>
    </row>
    <row r="3448">
      <c r="A3448" s="35" t="n"/>
      <c r="B3448" s="35" t="n"/>
      <c r="C3448" s="35" t="n"/>
      <c r="D3448" s="35" t="n"/>
    </row>
    <row r="3449">
      <c r="A3449" s="35" t="n"/>
      <c r="B3449" s="35" t="n"/>
      <c r="C3449" s="35" t="n"/>
      <c r="D3449" s="35" t="n"/>
    </row>
    <row r="3450">
      <c r="A3450" s="35" t="n"/>
      <c r="B3450" s="35" t="n"/>
      <c r="C3450" s="35" t="n"/>
      <c r="D3450" s="35" t="n"/>
    </row>
    <row r="3451">
      <c r="A3451" s="35" t="n"/>
      <c r="B3451" s="35" t="n"/>
      <c r="C3451" s="35" t="n"/>
      <c r="D3451" s="35" t="n"/>
    </row>
    <row r="3452">
      <c r="A3452" s="35" t="n"/>
      <c r="B3452" s="35" t="n"/>
      <c r="C3452" s="35" t="n"/>
      <c r="D3452" s="35" t="n"/>
    </row>
    <row r="3453">
      <c r="A3453" s="35" t="n"/>
      <c r="B3453" s="35" t="n"/>
      <c r="C3453" s="35" t="n"/>
      <c r="D3453" s="35" t="n"/>
    </row>
    <row r="3454">
      <c r="A3454" s="35" t="n"/>
      <c r="B3454" s="35" t="n"/>
      <c r="C3454" s="35" t="n"/>
      <c r="D3454" s="35" t="n"/>
    </row>
    <row r="3455">
      <c r="A3455" s="35" t="n"/>
      <c r="B3455" s="35" t="n"/>
      <c r="C3455" s="35" t="n"/>
      <c r="D3455" s="35" t="n"/>
    </row>
    <row r="3456">
      <c r="A3456" s="35" t="n"/>
      <c r="B3456" s="35" t="n"/>
      <c r="C3456" s="35" t="n"/>
      <c r="D3456" s="35" t="n"/>
    </row>
    <row r="3457">
      <c r="A3457" s="35" t="n"/>
      <c r="B3457" s="35" t="n"/>
      <c r="C3457" s="35" t="n"/>
      <c r="D3457" s="35" t="n"/>
    </row>
    <row r="3458">
      <c r="A3458" s="35" t="n"/>
      <c r="B3458" s="35" t="n"/>
      <c r="C3458" s="35" t="n"/>
      <c r="D3458" s="35" t="n"/>
    </row>
    <row r="3459">
      <c r="A3459" s="35" t="n"/>
      <c r="B3459" s="35" t="n"/>
      <c r="C3459" s="35" t="n"/>
      <c r="D3459" s="35" t="n"/>
    </row>
    <row r="3460">
      <c r="A3460" s="35" t="n"/>
      <c r="B3460" s="35" t="n"/>
      <c r="C3460" s="35" t="n"/>
      <c r="D3460" s="35" t="n"/>
    </row>
    <row r="3461">
      <c r="A3461" s="35" t="n"/>
      <c r="B3461" s="35" t="n"/>
      <c r="C3461" s="35" t="n"/>
      <c r="D3461" s="35" t="n"/>
    </row>
    <row r="3462">
      <c r="A3462" s="35" t="n"/>
      <c r="B3462" s="35" t="n"/>
      <c r="C3462" s="35" t="n"/>
      <c r="D3462" s="35" t="n"/>
    </row>
    <row r="3463">
      <c r="A3463" s="35" t="n"/>
      <c r="B3463" s="35" t="n"/>
      <c r="C3463" s="35" t="n"/>
      <c r="D3463" s="35" t="n"/>
    </row>
    <row r="3464">
      <c r="A3464" s="35" t="n"/>
      <c r="B3464" s="35" t="n"/>
      <c r="C3464" s="35" t="n"/>
      <c r="D3464" s="35" t="n"/>
    </row>
    <row r="3465">
      <c r="A3465" s="35" t="n"/>
      <c r="B3465" s="35" t="n"/>
      <c r="C3465" s="35" t="n"/>
      <c r="D3465" s="35" t="n"/>
    </row>
    <row r="3466">
      <c r="A3466" s="35" t="n"/>
      <c r="B3466" s="35" t="n"/>
      <c r="C3466" s="35" t="n"/>
      <c r="D3466" s="35" t="n"/>
    </row>
    <row r="3467">
      <c r="A3467" s="35" t="n"/>
      <c r="B3467" s="35" t="n"/>
      <c r="C3467" s="35" t="n"/>
      <c r="D3467" s="35" t="n"/>
    </row>
    <row r="3468">
      <c r="A3468" s="35" t="n"/>
      <c r="B3468" s="35" t="n"/>
      <c r="C3468" s="35" t="n"/>
      <c r="D3468" s="35" t="n"/>
    </row>
    <row r="3469">
      <c r="A3469" s="35" t="n"/>
      <c r="B3469" s="35" t="n"/>
      <c r="C3469" s="35" t="n"/>
      <c r="D3469" s="35" t="n"/>
    </row>
    <row r="3470">
      <c r="A3470" s="35" t="n"/>
      <c r="B3470" s="35" t="n"/>
      <c r="C3470" s="35" t="n"/>
      <c r="D3470" s="35" t="n"/>
    </row>
    <row r="3471">
      <c r="A3471" s="35" t="n"/>
      <c r="B3471" s="35" t="n"/>
      <c r="C3471" s="35" t="n"/>
      <c r="D3471" s="35" t="n"/>
    </row>
    <row r="3472">
      <c r="A3472" s="35" t="n"/>
      <c r="B3472" s="35" t="n"/>
      <c r="C3472" s="35" t="n"/>
      <c r="D3472" s="35" t="n"/>
    </row>
    <row r="3473">
      <c r="A3473" s="35" t="n"/>
      <c r="B3473" s="35" t="n"/>
      <c r="C3473" s="35" t="n"/>
      <c r="D3473" s="35" t="n"/>
    </row>
    <row r="3474">
      <c r="A3474" s="35" t="n"/>
      <c r="B3474" s="35" t="n"/>
      <c r="C3474" s="35" t="n"/>
      <c r="D3474" s="35" t="n"/>
    </row>
    <row r="3475">
      <c r="A3475" s="35" t="n"/>
      <c r="B3475" s="35" t="n"/>
      <c r="C3475" s="35" t="n"/>
      <c r="D3475" s="35" t="n"/>
    </row>
    <row r="3476">
      <c r="A3476" s="35" t="n"/>
      <c r="B3476" s="35" t="n"/>
      <c r="C3476" s="35" t="n"/>
      <c r="D3476" s="35" t="n"/>
    </row>
    <row r="3477">
      <c r="A3477" s="35" t="n"/>
      <c r="B3477" s="35" t="n"/>
      <c r="C3477" s="35" t="n"/>
      <c r="D3477" s="35" t="n"/>
    </row>
    <row r="3478">
      <c r="A3478" s="35" t="n"/>
      <c r="B3478" s="35" t="n"/>
      <c r="C3478" s="35" t="n"/>
      <c r="D3478" s="35" t="n"/>
    </row>
    <row r="3479">
      <c r="A3479" s="35" t="n"/>
      <c r="B3479" s="35" t="n"/>
      <c r="C3479" s="35" t="n"/>
      <c r="D3479" s="35" t="n"/>
    </row>
    <row r="3480">
      <c r="A3480" s="35" t="n"/>
      <c r="B3480" s="35" t="n"/>
      <c r="C3480" s="35" t="n"/>
      <c r="D3480" s="35" t="n"/>
    </row>
    <row r="3481">
      <c r="A3481" s="35" t="n"/>
      <c r="B3481" s="35" t="n"/>
      <c r="C3481" s="35" t="n"/>
      <c r="D3481" s="35" t="n"/>
    </row>
    <row r="3482">
      <c r="A3482" s="35" t="n"/>
      <c r="B3482" s="35" t="n"/>
      <c r="C3482" s="35" t="n"/>
      <c r="D3482" s="35" t="n"/>
    </row>
    <row r="3483">
      <c r="A3483" s="35" t="n"/>
      <c r="B3483" s="35" t="n"/>
      <c r="C3483" s="35" t="n"/>
      <c r="D3483" s="35" t="n"/>
    </row>
    <row r="3484">
      <c r="A3484" s="35" t="n"/>
      <c r="B3484" s="35" t="n"/>
      <c r="C3484" s="35" t="n"/>
      <c r="D3484" s="35" t="n"/>
    </row>
    <row r="3485">
      <c r="A3485" s="35" t="n"/>
      <c r="B3485" s="35" t="n"/>
      <c r="C3485" s="35" t="n"/>
      <c r="D3485" s="35" t="n"/>
    </row>
    <row r="3486">
      <c r="A3486" s="35" t="n"/>
      <c r="B3486" s="35" t="n"/>
      <c r="C3486" s="35" t="n"/>
      <c r="D3486" s="35" t="n"/>
    </row>
    <row r="3487">
      <c r="A3487" s="35" t="n"/>
      <c r="B3487" s="35" t="n"/>
      <c r="C3487" s="35" t="n"/>
      <c r="D3487" s="35" t="n"/>
    </row>
    <row r="3488">
      <c r="A3488" s="35" t="n"/>
      <c r="B3488" s="35" t="n"/>
      <c r="C3488" s="35" t="n"/>
      <c r="D3488" s="35" t="n"/>
    </row>
    <row r="3489">
      <c r="A3489" s="35" t="n"/>
      <c r="B3489" s="35" t="n"/>
      <c r="C3489" s="35" t="n"/>
      <c r="D3489" s="35" t="n"/>
    </row>
    <row r="3490">
      <c r="A3490" s="35" t="n"/>
      <c r="B3490" s="35" t="n"/>
      <c r="C3490" s="35" t="n"/>
      <c r="D3490" s="35" t="n"/>
    </row>
    <row r="3491">
      <c r="A3491" s="35" t="n"/>
      <c r="B3491" s="35" t="n"/>
      <c r="C3491" s="35" t="n"/>
      <c r="D3491" s="35" t="n"/>
    </row>
    <row r="3492">
      <c r="A3492" s="35" t="n"/>
      <c r="B3492" s="35" t="n"/>
      <c r="C3492" s="35" t="n"/>
      <c r="D3492" s="35" t="n"/>
    </row>
    <row r="3493">
      <c r="A3493" s="35" t="n"/>
      <c r="B3493" s="35" t="n"/>
      <c r="C3493" s="35" t="n"/>
      <c r="D3493" s="35" t="n"/>
    </row>
    <row r="3494">
      <c r="A3494" s="35" t="n"/>
      <c r="B3494" s="35" t="n"/>
      <c r="C3494" s="35" t="n"/>
      <c r="D3494" s="35" t="n"/>
    </row>
    <row r="3495">
      <c r="A3495" s="35" t="n"/>
      <c r="B3495" s="35" t="n"/>
      <c r="C3495" s="35" t="n"/>
      <c r="D3495" s="35" t="n"/>
    </row>
    <row r="3496">
      <c r="A3496" s="35" t="n"/>
      <c r="B3496" s="35" t="n"/>
      <c r="C3496" s="35" t="n"/>
      <c r="D3496" s="35" t="n"/>
    </row>
    <row r="3497">
      <c r="A3497" s="35" t="n"/>
      <c r="B3497" s="35" t="n"/>
      <c r="C3497" s="35" t="n"/>
      <c r="D3497" s="35" t="n"/>
    </row>
    <row r="3498">
      <c r="A3498" s="35" t="n"/>
      <c r="B3498" s="35" t="n"/>
      <c r="C3498" s="35" t="n"/>
      <c r="D3498" s="35" t="n"/>
    </row>
    <row r="3499">
      <c r="A3499" s="35" t="n"/>
      <c r="B3499" s="35" t="n"/>
      <c r="C3499" s="35" t="n"/>
      <c r="D3499" s="35" t="n"/>
    </row>
    <row r="3500">
      <c r="A3500" s="35" t="n"/>
      <c r="B3500" s="35" t="n"/>
      <c r="C3500" s="35" t="n"/>
      <c r="D3500" s="35" t="n"/>
    </row>
    <row r="3501">
      <c r="A3501" s="35" t="n"/>
      <c r="B3501" s="35" t="n"/>
      <c r="C3501" s="35" t="n"/>
      <c r="D3501" s="35" t="n"/>
    </row>
    <row r="3502">
      <c r="A3502" s="35" t="n"/>
      <c r="B3502" s="35" t="n"/>
      <c r="C3502" s="35" t="n"/>
      <c r="D3502" s="35" t="n"/>
    </row>
    <row r="3503">
      <c r="A3503" s="35" t="n"/>
      <c r="B3503" s="35" t="n"/>
      <c r="C3503" s="35" t="n"/>
      <c r="D3503" s="35" t="n"/>
    </row>
    <row r="3504">
      <c r="A3504" s="35" t="n"/>
      <c r="B3504" s="35" t="n"/>
      <c r="C3504" s="35" t="n"/>
      <c r="D3504" s="35" t="n"/>
    </row>
    <row r="3505">
      <c r="A3505" s="35" t="n"/>
      <c r="B3505" s="35" t="n"/>
      <c r="C3505" s="35" t="n"/>
      <c r="D3505" s="35" t="n"/>
    </row>
    <row r="3506">
      <c r="A3506" s="35" t="n"/>
      <c r="B3506" s="35" t="n"/>
      <c r="C3506" s="35" t="n"/>
      <c r="D3506" s="35" t="n"/>
    </row>
    <row r="3507">
      <c r="A3507" s="35" t="n"/>
      <c r="B3507" s="35" t="n"/>
      <c r="C3507" s="35" t="n"/>
      <c r="D3507" s="35" t="n"/>
    </row>
    <row r="3508">
      <c r="A3508" s="35" t="n"/>
      <c r="B3508" s="35" t="n"/>
      <c r="C3508" s="35" t="n"/>
      <c r="D3508" s="35" t="n"/>
    </row>
    <row r="3509">
      <c r="A3509" s="35" t="n"/>
      <c r="B3509" s="35" t="n"/>
      <c r="C3509" s="35" t="n"/>
      <c r="D3509" s="35" t="n"/>
    </row>
    <row r="3510">
      <c r="A3510" s="35" t="n"/>
      <c r="B3510" s="35" t="n"/>
      <c r="C3510" s="35" t="n"/>
      <c r="D3510" s="35" t="n"/>
    </row>
    <row r="3511">
      <c r="A3511" s="35" t="n"/>
      <c r="B3511" s="35" t="n"/>
      <c r="C3511" s="35" t="n"/>
      <c r="D3511" s="35" t="n"/>
    </row>
    <row r="3512">
      <c r="A3512" s="35" t="n"/>
      <c r="B3512" s="35" t="n"/>
      <c r="C3512" s="35" t="n"/>
      <c r="D3512" s="35" t="n"/>
    </row>
    <row r="3513">
      <c r="A3513" s="35" t="n"/>
      <c r="B3513" s="35" t="n"/>
      <c r="C3513" s="35" t="n"/>
      <c r="D3513" s="35" t="n"/>
    </row>
    <row r="3514">
      <c r="A3514" s="35" t="n"/>
      <c r="B3514" s="35" t="n"/>
      <c r="C3514" s="35" t="n"/>
      <c r="D3514" s="35" t="n"/>
    </row>
    <row r="3515">
      <c r="A3515" s="35" t="n"/>
      <c r="B3515" s="35" t="n"/>
      <c r="C3515" s="35" t="n"/>
      <c r="D3515" s="35" t="n"/>
    </row>
    <row r="3516">
      <c r="A3516" s="35" t="n"/>
      <c r="B3516" s="35" t="n"/>
      <c r="C3516" s="35" t="n"/>
      <c r="D3516" s="35" t="n"/>
    </row>
    <row r="3517">
      <c r="A3517" s="35" t="n"/>
      <c r="B3517" s="35" t="n"/>
      <c r="C3517" s="35" t="n"/>
      <c r="D3517" s="35" t="n"/>
    </row>
    <row r="3518">
      <c r="A3518" s="35" t="n"/>
      <c r="B3518" s="35" t="n"/>
      <c r="C3518" s="35" t="n"/>
      <c r="D3518" s="35" t="n"/>
    </row>
    <row r="3519">
      <c r="A3519" s="35" t="n"/>
      <c r="B3519" s="35" t="n"/>
      <c r="C3519" s="35" t="n"/>
      <c r="D3519" s="35" t="n"/>
    </row>
    <row r="3520">
      <c r="A3520" s="35" t="n"/>
      <c r="B3520" s="35" t="n"/>
      <c r="C3520" s="35" t="n"/>
      <c r="D3520" s="35" t="n"/>
    </row>
    <row r="3521">
      <c r="A3521" s="35" t="n"/>
      <c r="B3521" s="35" t="n"/>
      <c r="C3521" s="35" t="n"/>
      <c r="D3521" s="35" t="n"/>
    </row>
    <row r="3522">
      <c r="A3522" s="35" t="n"/>
      <c r="B3522" s="35" t="n"/>
      <c r="C3522" s="35" t="n"/>
      <c r="D3522" s="35" t="n"/>
    </row>
    <row r="3523">
      <c r="A3523" s="35" t="n"/>
      <c r="B3523" s="35" t="n"/>
      <c r="C3523" s="35" t="n"/>
      <c r="D3523" s="35" t="n"/>
    </row>
    <row r="3524">
      <c r="A3524" s="35" t="n"/>
      <c r="B3524" s="35" t="n"/>
      <c r="C3524" s="35" t="n"/>
      <c r="D3524" s="35" t="n"/>
    </row>
    <row r="3525">
      <c r="A3525" s="35" t="n"/>
      <c r="B3525" s="35" t="n"/>
      <c r="C3525" s="35" t="n"/>
      <c r="D3525" s="35" t="n"/>
    </row>
    <row r="3526">
      <c r="A3526" s="35" t="n"/>
      <c r="B3526" s="35" t="n"/>
      <c r="C3526" s="35" t="n"/>
      <c r="D3526" s="35" t="n"/>
    </row>
    <row r="3527">
      <c r="A3527" s="35" t="n"/>
      <c r="B3527" s="35" t="n"/>
      <c r="C3527" s="35" t="n"/>
      <c r="D3527" s="35" t="n"/>
    </row>
    <row r="3528">
      <c r="A3528" s="35" t="n"/>
      <c r="B3528" s="35" t="n"/>
      <c r="C3528" s="35" t="n"/>
      <c r="D3528" s="35" t="n"/>
    </row>
    <row r="3529">
      <c r="A3529" s="35" t="n"/>
      <c r="B3529" s="35" t="n"/>
      <c r="C3529" s="35" t="n"/>
      <c r="D3529" s="35" t="n"/>
    </row>
    <row r="3530">
      <c r="A3530" s="35" t="n"/>
      <c r="B3530" s="35" t="n"/>
      <c r="C3530" s="35" t="n"/>
      <c r="D3530" s="35" t="n"/>
    </row>
    <row r="3531">
      <c r="A3531" s="35" t="n"/>
      <c r="B3531" s="35" t="n"/>
      <c r="C3531" s="35" t="n"/>
      <c r="D3531" s="35" t="n"/>
    </row>
    <row r="3532">
      <c r="A3532" s="35" t="n"/>
      <c r="B3532" s="35" t="n"/>
      <c r="C3532" s="35" t="n"/>
      <c r="D3532" s="35" t="n"/>
    </row>
    <row r="3533">
      <c r="A3533" s="35" t="n"/>
      <c r="B3533" s="35" t="n"/>
      <c r="C3533" s="35" t="n"/>
      <c r="D3533" s="35" t="n"/>
    </row>
    <row r="3534">
      <c r="A3534" s="35" t="n"/>
      <c r="B3534" s="35" t="n"/>
      <c r="C3534" s="35" t="n"/>
      <c r="D3534" s="35" t="n"/>
    </row>
    <row r="3535">
      <c r="A3535" s="35" t="n"/>
      <c r="B3535" s="35" t="n"/>
      <c r="C3535" s="35" t="n"/>
      <c r="D3535" s="35" t="n"/>
    </row>
    <row r="3536">
      <c r="A3536" s="35" t="n"/>
      <c r="B3536" s="35" t="n"/>
      <c r="C3536" s="35" t="n"/>
      <c r="D3536" s="35" t="n"/>
    </row>
    <row r="3537">
      <c r="A3537" s="35" t="n"/>
      <c r="B3537" s="35" t="n"/>
      <c r="C3537" s="35" t="n"/>
      <c r="D3537" s="35" t="n"/>
    </row>
    <row r="3538">
      <c r="A3538" s="35" t="n"/>
      <c r="B3538" s="35" t="n"/>
      <c r="C3538" s="35" t="n"/>
      <c r="D3538" s="35" t="n"/>
    </row>
    <row r="3539">
      <c r="A3539" s="35" t="n"/>
      <c r="B3539" s="35" t="n"/>
      <c r="C3539" s="35" t="n"/>
      <c r="D3539" s="35" t="n"/>
    </row>
  </sheetData>
  <autoFilter ref="A2:D3539"/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375623"/>
    <outlinePr summaryBelow="1" summaryRight="1"/>
    <pageSetUpPr/>
  </sheetPr>
  <dimension ref="A1:I502"/>
  <sheetViews>
    <sheetView zoomScaleNormal="100" workbookViewId="0">
      <pane ySplit="2" topLeftCell="A3" activePane="bottomLeft" state="frozen"/>
      <selection pane="bottomLeft" activeCell="E7" sqref="A1:I502"/>
    </sheetView>
  </sheetViews>
  <sheetFormatPr baseColWidth="8" defaultColWidth="8.7109375" defaultRowHeight="15"/>
  <cols>
    <col width="10.140625" bestFit="1" customWidth="1" min="1" max="1"/>
    <col width="13.85546875" bestFit="1" customWidth="1" min="2" max="2"/>
    <col width="11" bestFit="1" customWidth="1" min="3" max="3"/>
    <col width="37.42578125" bestFit="1" customWidth="1" min="4" max="4"/>
    <col width="16.28515625" bestFit="1" customWidth="1" min="5" max="6"/>
    <col width="19" bestFit="1" customWidth="1" min="7" max="7"/>
    <col width="15" bestFit="1" customWidth="1" min="8" max="8"/>
    <col width="22.5703125" bestFit="1" customWidth="1" min="9" max="9"/>
  </cols>
  <sheetData>
    <row r="1" ht="34.5" customHeight="1">
      <c r="A1" s="31" t="inlineStr">
        <is>
          <t>HS_CHECK — HS Code Validation Engine</t>
        </is>
      </c>
    </row>
    <row r="2" ht="30" customHeight="1">
      <c r="A2" s="18" t="inlineStr">
        <is>
          <t>Line N°</t>
        </is>
      </c>
      <c r="B2" s="18" t="inlineStr">
        <is>
          <t>Part No</t>
        </is>
      </c>
      <c r="C2" s="18" t="inlineStr">
        <is>
          <t>Class</t>
        </is>
      </c>
      <c r="D2" s="18" t="inlineStr">
        <is>
          <t>Designation</t>
        </is>
      </c>
      <c r="E2" s="18" t="inlineStr">
        <is>
          <t>HS Invoice (raw)</t>
        </is>
      </c>
      <c r="F2" s="18" t="inlineStr">
        <is>
          <t>HS Invoice (norm)</t>
        </is>
      </c>
      <c r="G2" s="18" t="inlineStr">
        <is>
          <t>DB Historical HS</t>
        </is>
      </c>
      <c r="H2" s="18" t="inlineStr">
        <is>
          <t>HS Match Result</t>
        </is>
      </c>
      <c r="I2" s="18" t="inlineStr">
        <is>
          <t>Volatile Item</t>
        </is>
      </c>
    </row>
    <row r="3" ht="15" customHeight="1">
      <c r="A3" s="14">
        <f>IF(INPUT!A3="","",INPUT!A3)</f>
        <v/>
      </c>
      <c r="B3" s="14">
        <f>IF(INPUT!B3="","",INPUT!B3)</f>
        <v/>
      </c>
      <c r="C3" s="14">
        <f>IF(INPUT!D3="","",INPUT!D3)</f>
        <v/>
      </c>
      <c r="D3" s="14">
        <f>IF(INPUT!C3="","",INPUT!C3)</f>
        <v/>
      </c>
      <c r="E3" s="15">
        <f>IF(INPUT!E3="","",INPUT!E3)</f>
        <v/>
      </c>
      <c r="F3" s="15">
        <f>IF(E3="","",TEXT(E3,"0000000000"))</f>
        <v/>
      </c>
      <c r="G3" s="15">
        <f>IF(B3="","",IFERROR(INDEX(DB!$B:$B,MATCH(B3,DB!$A:$A,0)),"-"))</f>
        <v/>
      </c>
      <c r="H3" s="6">
        <f>IF(B3="","",IF(G3="-","NEW ITEM",IF(F3=TEXT(G3,"0000000000"),"MATCH","MISMATCH")))</f>
        <v/>
      </c>
      <c r="I3" s="6">
        <f>IF(B3="","",IF(G3="-","-",IF(F3&lt;&gt;TEXT(G3,"0000000000"),"CHECK - HS MISMATCH","-")))</f>
        <v/>
      </c>
    </row>
    <row r="4" ht="15" customHeight="1">
      <c r="A4" s="16">
        <f>IF(INPUT!A4="","",INPUT!A4)</f>
        <v/>
      </c>
      <c r="B4" s="16">
        <f>IF(INPUT!B4="","",INPUT!B4)</f>
        <v/>
      </c>
      <c r="C4" s="16">
        <f>IF(INPUT!D4="","",INPUT!D4)</f>
        <v/>
      </c>
      <c r="D4" s="16">
        <f>IF(INPUT!C4="","",INPUT!C4)</f>
        <v/>
      </c>
      <c r="E4" s="17">
        <f>IF(INPUT!E4="","",INPUT!E4)</f>
        <v/>
      </c>
      <c r="F4" s="17">
        <f>IF(E4="","",TEXT(E4,"0000000000"))</f>
        <v/>
      </c>
      <c r="G4" s="17">
        <f>IF(B4="","",IFERROR(INDEX(DB!$B:$B,MATCH(B4,DB!$A:$A,0)),"-"))</f>
        <v/>
      </c>
      <c r="H4" s="4">
        <f>IF(B4="","",IF(G4="-","NEW ITEM",IF(F4=TEXT(G4,"0000000000"),"MATCH","MISMATCH")))</f>
        <v/>
      </c>
      <c r="I4" s="4">
        <f>IF(B4="","",IF(G4="-","-",IF(F4&lt;&gt;TEXT(G4,"0000000000"),"CHECK - HS MISMATCH","-")))</f>
        <v/>
      </c>
    </row>
    <row r="5" ht="15" customHeight="1">
      <c r="A5" s="14">
        <f>IF(INPUT!A5="","",INPUT!A5)</f>
        <v/>
      </c>
      <c r="B5" s="14">
        <f>IF(INPUT!B5="","",INPUT!B5)</f>
        <v/>
      </c>
      <c r="C5" s="14">
        <f>IF(INPUT!D5="","",INPUT!D5)</f>
        <v/>
      </c>
      <c r="D5" s="14">
        <f>IF(INPUT!C5="","",INPUT!C5)</f>
        <v/>
      </c>
      <c r="E5" s="15">
        <f>IF(INPUT!E5="","",INPUT!E5)</f>
        <v/>
      </c>
      <c r="F5" s="15">
        <f>IF(E5="","",TEXT(E5,"0000000000"))</f>
        <v/>
      </c>
      <c r="G5" s="15">
        <f>IF(B5="","",IFERROR(INDEX(DB!$B:$B,MATCH(B5,DB!$A:$A,0)),"-"))</f>
        <v/>
      </c>
      <c r="H5" s="6">
        <f>IF(B5="","",IF(G5="-","NEW ITEM",IF(F5=TEXT(G5,"0000000000"),"MATCH","MISMATCH")))</f>
        <v/>
      </c>
      <c r="I5" s="6">
        <f>IF(B5="","",IF(G5="-","-",IF(F5&lt;&gt;TEXT(G5,"0000000000"),"CHECK - HS MISMATCH","-")))</f>
        <v/>
      </c>
    </row>
    <row r="6" ht="15" customHeight="1">
      <c r="A6" s="16">
        <f>IF(INPUT!A6="","",INPUT!A6)</f>
        <v/>
      </c>
      <c r="B6" s="16">
        <f>IF(INPUT!B6="","",INPUT!B6)</f>
        <v/>
      </c>
      <c r="C6" s="16">
        <f>IF(INPUT!D6="","",INPUT!D6)</f>
        <v/>
      </c>
      <c r="D6" s="16">
        <f>IF(INPUT!C6="","",INPUT!C6)</f>
        <v/>
      </c>
      <c r="E6" s="17">
        <f>IF(INPUT!E6="","",INPUT!E6)</f>
        <v/>
      </c>
      <c r="F6" s="17">
        <f>IF(E6="","",TEXT(E6,"0000000000"))</f>
        <v/>
      </c>
      <c r="G6" s="17">
        <f>IF(B6="","",IFERROR(INDEX(DB!$B:$B,MATCH(B6,DB!$A:$A,0)),"-"))</f>
        <v/>
      </c>
      <c r="H6" s="4">
        <f>IF(B6="","",IF(G6="-","NEW ITEM",IF(F6=TEXT(G6,"0000000000"),"MATCH","MISMATCH")))</f>
        <v/>
      </c>
      <c r="I6" s="4">
        <f>IF(B6="","",IF(G6="-","-",IF(F6&lt;&gt;TEXT(G6,"0000000000"),"CHECK - HS MISMATCH","-")))</f>
        <v/>
      </c>
    </row>
    <row r="7" ht="15" customHeight="1">
      <c r="A7" s="14">
        <f>IF(INPUT!A7="","",INPUT!A7)</f>
        <v/>
      </c>
      <c r="B7" s="14">
        <f>IF(INPUT!B7="","",INPUT!B7)</f>
        <v/>
      </c>
      <c r="C7" s="14">
        <f>IF(INPUT!D7="","",INPUT!D7)</f>
        <v/>
      </c>
      <c r="D7" s="14">
        <f>IF(INPUT!C7="","",INPUT!C7)</f>
        <v/>
      </c>
      <c r="E7" s="15">
        <f>IF(INPUT!E7="","",INPUT!E7)</f>
        <v/>
      </c>
      <c r="F7" s="15">
        <f>IF(E7="","",TEXT(E7,"0000000000"))</f>
        <v/>
      </c>
      <c r="G7" s="15">
        <f>IF(B7="","",IFERROR(INDEX(DB!$B:$B,MATCH(B7,DB!$A:$A,0)),"-"))</f>
        <v/>
      </c>
      <c r="H7" s="6">
        <f>IF(B7="","",IF(G7="-","NEW ITEM",IF(F7=TEXT(G7,"0000000000"),"MATCH","MISMATCH")))</f>
        <v/>
      </c>
      <c r="I7" s="6">
        <f>IF(B7="","",IF(G7="-","-",IF(F7&lt;&gt;TEXT(G7,"0000000000"),"CHECK - HS MISMATCH","-")))</f>
        <v/>
      </c>
    </row>
    <row r="8" ht="15" customHeight="1">
      <c r="A8" s="16">
        <f>IF(INPUT!A8="","",INPUT!A8)</f>
        <v/>
      </c>
      <c r="B8" s="16">
        <f>IF(INPUT!B8="","",INPUT!B8)</f>
        <v/>
      </c>
      <c r="C8" s="16">
        <f>IF(INPUT!D8="","",INPUT!D8)</f>
        <v/>
      </c>
      <c r="D8" s="16">
        <f>IF(INPUT!C8="","",INPUT!C8)</f>
        <v/>
      </c>
      <c r="E8" s="17">
        <f>IF(INPUT!E8="","",INPUT!E8)</f>
        <v/>
      </c>
      <c r="F8" s="17">
        <f>IF(E8="","",TEXT(E8,"0000000000"))</f>
        <v/>
      </c>
      <c r="G8" s="17">
        <f>IF(B8="","",IFERROR(INDEX(DB!$B:$B,MATCH(B8,DB!$A:$A,0)),"-"))</f>
        <v/>
      </c>
      <c r="H8" s="4">
        <f>IF(B8="","",IF(G8="-","NEW ITEM",IF(F8=TEXT(G8,"0000000000"),"MATCH","MISMATCH")))</f>
        <v/>
      </c>
      <c r="I8" s="4">
        <f>IF(B8="","",IF(G8="-","-",IF(F8&lt;&gt;TEXT(G8,"0000000000"),"CHECK - HS MISMATCH","-")))</f>
        <v/>
      </c>
    </row>
    <row r="9" ht="15" customHeight="1">
      <c r="A9" s="14">
        <f>IF(INPUT!A9="","",INPUT!A9)</f>
        <v/>
      </c>
      <c r="B9" s="14">
        <f>IF(INPUT!B9="","",INPUT!B9)</f>
        <v/>
      </c>
      <c r="C9" s="14">
        <f>IF(INPUT!D9="","",INPUT!D9)</f>
        <v/>
      </c>
      <c r="D9" s="14">
        <f>IF(INPUT!C9="","",INPUT!C9)</f>
        <v/>
      </c>
      <c r="E9" s="15">
        <f>IF(INPUT!E9="","",INPUT!E9)</f>
        <v/>
      </c>
      <c r="F9" s="15">
        <f>IF(E9="","",TEXT(E9,"0000000000"))</f>
        <v/>
      </c>
      <c r="G9" s="15">
        <f>IF(B9="","",IFERROR(INDEX(DB!$B:$B,MATCH(B9,DB!$A:$A,0)),"-"))</f>
        <v/>
      </c>
      <c r="H9" s="6">
        <f>IF(B9="","",IF(G9="-","NEW ITEM",IF(F9=TEXT(G9,"0000000000"),"MATCH","MISMATCH")))</f>
        <v/>
      </c>
      <c r="I9" s="6">
        <f>IF(B9="","",IF(G9="-","-",IF(F9&lt;&gt;TEXT(G9,"0000000000"),"CHECK - HS MISMATCH","-")))</f>
        <v/>
      </c>
    </row>
    <row r="10" ht="15" customHeight="1">
      <c r="A10" s="16">
        <f>IF(INPUT!A10="","",INPUT!A10)</f>
        <v/>
      </c>
      <c r="B10" s="16">
        <f>IF(INPUT!B10="","",INPUT!B10)</f>
        <v/>
      </c>
      <c r="C10" s="16">
        <f>IF(INPUT!D10="","",INPUT!D10)</f>
        <v/>
      </c>
      <c r="D10" s="16">
        <f>IF(INPUT!C10="","",INPUT!C10)</f>
        <v/>
      </c>
      <c r="E10" s="17">
        <f>IF(INPUT!E10="","",INPUT!E10)</f>
        <v/>
      </c>
      <c r="F10" s="17">
        <f>IF(E10="","",TEXT(E10,"0000000000"))</f>
        <v/>
      </c>
      <c r="G10" s="17">
        <f>IF(B10="","",IFERROR(INDEX(DB!$B:$B,MATCH(B10,DB!$A:$A,0)),"-"))</f>
        <v/>
      </c>
      <c r="H10" s="4">
        <f>IF(B10="","",IF(G10="-","NEW ITEM",IF(F10=TEXT(G10,"0000000000"),"MATCH","MISMATCH")))</f>
        <v/>
      </c>
      <c r="I10" s="4">
        <f>IF(B10="","",IF(G10="-","-",IF(F10&lt;&gt;TEXT(G10,"0000000000"),"CHECK - HS MISMATCH","-")))</f>
        <v/>
      </c>
    </row>
    <row r="11" ht="15" customHeight="1">
      <c r="A11" s="14">
        <f>IF(INPUT!A11="","",INPUT!A11)</f>
        <v/>
      </c>
      <c r="B11" s="14">
        <f>IF(INPUT!B11="","",INPUT!B11)</f>
        <v/>
      </c>
      <c r="C11" s="14">
        <f>IF(INPUT!D11="","",INPUT!D11)</f>
        <v/>
      </c>
      <c r="D11" s="14">
        <f>IF(INPUT!C11="","",INPUT!C11)</f>
        <v/>
      </c>
      <c r="E11" s="15">
        <f>IF(INPUT!E11="","",INPUT!E11)</f>
        <v/>
      </c>
      <c r="F11" s="15">
        <f>IF(E11="","",TEXT(E11,"0000000000"))</f>
        <v/>
      </c>
      <c r="G11" s="15">
        <f>IF(B11="","",IFERROR(INDEX(DB!$B:$B,MATCH(B11,DB!$A:$A,0)),"-"))</f>
        <v/>
      </c>
      <c r="H11" s="6">
        <f>IF(B11="","",IF(G11="-","NEW ITEM",IF(F11=TEXT(G11,"0000000000"),"MATCH","MISMATCH")))</f>
        <v/>
      </c>
      <c r="I11" s="6">
        <f>IF(B11="","",IF(G11="-","-",IF(F11&lt;&gt;TEXT(G11,"0000000000"),"CHECK - HS MISMATCH","-")))</f>
        <v/>
      </c>
    </row>
    <row r="12" ht="15" customHeight="1">
      <c r="A12" s="16">
        <f>IF(INPUT!A12="","",INPUT!A12)</f>
        <v/>
      </c>
      <c r="B12" s="16">
        <f>IF(INPUT!B12="","",INPUT!B12)</f>
        <v/>
      </c>
      <c r="C12" s="16">
        <f>IF(INPUT!D12="","",INPUT!D12)</f>
        <v/>
      </c>
      <c r="D12" s="16">
        <f>IF(INPUT!C12="","",INPUT!C12)</f>
        <v/>
      </c>
      <c r="E12" s="17">
        <f>IF(INPUT!E12="","",INPUT!E12)</f>
        <v/>
      </c>
      <c r="F12" s="17">
        <f>IF(E12="","",TEXT(E12,"0000000000"))</f>
        <v/>
      </c>
      <c r="G12" s="17">
        <f>IF(B12="","",IFERROR(INDEX(DB!$B:$B,MATCH(B12,DB!$A:$A,0)),"-"))</f>
        <v/>
      </c>
      <c r="H12" s="4">
        <f>IF(B12="","",IF(G12="-","NEW ITEM",IF(F12=TEXT(G12,"0000000000"),"MATCH","MISMATCH")))</f>
        <v/>
      </c>
      <c r="I12" s="4">
        <f>IF(B12="","",IF(G12="-","-",IF(F12&lt;&gt;TEXT(G12,"0000000000"),"CHECK - HS MISMATCH","-")))</f>
        <v/>
      </c>
    </row>
    <row r="13" ht="15" customHeight="1">
      <c r="A13" s="14">
        <f>IF(INPUT!A13="","",INPUT!A13)</f>
        <v/>
      </c>
      <c r="B13" s="14">
        <f>IF(INPUT!B13="","",INPUT!B13)</f>
        <v/>
      </c>
      <c r="C13" s="14">
        <f>IF(INPUT!D13="","",INPUT!D13)</f>
        <v/>
      </c>
      <c r="D13" s="14">
        <f>IF(INPUT!C13="","",INPUT!C13)</f>
        <v/>
      </c>
      <c r="E13" s="15">
        <f>IF(INPUT!E13="","",INPUT!E13)</f>
        <v/>
      </c>
      <c r="F13" s="15">
        <f>IF(E13="","",TEXT(E13,"0000000000"))</f>
        <v/>
      </c>
      <c r="G13" s="15">
        <f>IF(B13="","",IFERROR(INDEX(DB!$B:$B,MATCH(B13,DB!$A:$A,0)),"-"))</f>
        <v/>
      </c>
      <c r="H13" s="6">
        <f>IF(B13="","",IF(G13="-","NEW ITEM",IF(F13=TEXT(G13,"0000000000"),"MATCH","MISMATCH")))</f>
        <v/>
      </c>
      <c r="I13" s="6">
        <f>IF(B13="","",IF(G13="-","-",IF(F13&lt;&gt;TEXT(G13,"0000000000"),"CHECK - HS MISMATCH","-")))</f>
        <v/>
      </c>
    </row>
    <row r="14" ht="15" customHeight="1">
      <c r="A14" s="16">
        <f>IF(INPUT!A14="","",INPUT!A14)</f>
        <v/>
      </c>
      <c r="B14" s="16">
        <f>IF(INPUT!B14="","",INPUT!B14)</f>
        <v/>
      </c>
      <c r="C14" s="16">
        <f>IF(INPUT!D14="","",INPUT!D14)</f>
        <v/>
      </c>
      <c r="D14" s="16">
        <f>IF(INPUT!C14="","",INPUT!C14)</f>
        <v/>
      </c>
      <c r="E14" s="17">
        <f>IF(INPUT!E14="","",INPUT!E14)</f>
        <v/>
      </c>
      <c r="F14" s="17">
        <f>IF(E14="","",TEXT(E14,"0000000000"))</f>
        <v/>
      </c>
      <c r="G14" s="17">
        <f>IF(B14="","",IFERROR(INDEX(DB!$B:$B,MATCH(B14,DB!$A:$A,0)),"-"))</f>
        <v/>
      </c>
      <c r="H14" s="4">
        <f>IF(B14="","",IF(G14="-","NEW ITEM",IF(F14=TEXT(G14,"0000000000"),"MATCH","MISMATCH")))</f>
        <v/>
      </c>
      <c r="I14" s="4">
        <f>IF(B14="","",IF(G14="-","-",IF(F14&lt;&gt;TEXT(G14,"0000000000"),"CHECK - HS MISMATCH","-")))</f>
        <v/>
      </c>
    </row>
    <row r="15" ht="15" customHeight="1">
      <c r="A15" s="14">
        <f>IF(INPUT!A15="","",INPUT!A15)</f>
        <v/>
      </c>
      <c r="B15" s="14">
        <f>IF(INPUT!B15="","",INPUT!B15)</f>
        <v/>
      </c>
      <c r="C15" s="14">
        <f>IF(INPUT!D15="","",INPUT!D15)</f>
        <v/>
      </c>
      <c r="D15" s="14">
        <f>IF(INPUT!C15="","",INPUT!C15)</f>
        <v/>
      </c>
      <c r="E15" s="15">
        <f>IF(INPUT!E15="","",INPUT!E15)</f>
        <v/>
      </c>
      <c r="F15" s="15">
        <f>IF(E15="","",TEXT(E15,"0000000000"))</f>
        <v/>
      </c>
      <c r="G15" s="15">
        <f>IF(B15="","",IFERROR(INDEX(DB!$B:$B,MATCH(B15,DB!$A:$A,0)),"-"))</f>
        <v/>
      </c>
      <c r="H15" s="6">
        <f>IF(B15="","",IF(G15="-","NEW ITEM",IF(F15=TEXT(G15,"0000000000"),"MATCH","MISMATCH")))</f>
        <v/>
      </c>
      <c r="I15" s="6">
        <f>IF(B15="","",IF(G15="-","-",IF(F15&lt;&gt;TEXT(G15,"0000000000"),"CHECK - HS MISMATCH","-")))</f>
        <v/>
      </c>
    </row>
    <row r="16" ht="15" customHeight="1">
      <c r="A16" s="16">
        <f>IF(INPUT!A16="","",INPUT!A16)</f>
        <v/>
      </c>
      <c r="B16" s="16">
        <f>IF(INPUT!B16="","",INPUT!B16)</f>
        <v/>
      </c>
      <c r="C16" s="16">
        <f>IF(INPUT!D16="","",INPUT!D16)</f>
        <v/>
      </c>
      <c r="D16" s="16">
        <f>IF(INPUT!C16="","",INPUT!C16)</f>
        <v/>
      </c>
      <c r="E16" s="17">
        <f>IF(INPUT!E16="","",INPUT!E16)</f>
        <v/>
      </c>
      <c r="F16" s="17">
        <f>IF(E16="","",TEXT(E16,"0000000000"))</f>
        <v/>
      </c>
      <c r="G16" s="17">
        <f>IF(B16="","",IFERROR(INDEX(DB!$B:$B,MATCH(B16,DB!$A:$A,0)),"-"))</f>
        <v/>
      </c>
      <c r="H16" s="4">
        <f>IF(B16="","",IF(G16="-","NEW ITEM",IF(F16=TEXT(G16,"0000000000"),"MATCH","MISMATCH")))</f>
        <v/>
      </c>
      <c r="I16" s="4">
        <f>IF(B16="","",IF(G16="-","-",IF(F16&lt;&gt;TEXT(G16,"0000000000"),"CHECK - HS MISMATCH","-")))</f>
        <v/>
      </c>
    </row>
    <row r="17" ht="15" customHeight="1">
      <c r="A17" s="14">
        <f>IF(INPUT!A17="","",INPUT!A17)</f>
        <v/>
      </c>
      <c r="B17" s="14">
        <f>IF(INPUT!B17="","",INPUT!B17)</f>
        <v/>
      </c>
      <c r="C17" s="14">
        <f>IF(INPUT!D17="","",INPUT!D17)</f>
        <v/>
      </c>
      <c r="D17" s="14">
        <f>IF(INPUT!C17="","",INPUT!C17)</f>
        <v/>
      </c>
      <c r="E17" s="15">
        <f>IF(INPUT!E17="","",INPUT!E17)</f>
        <v/>
      </c>
      <c r="F17" s="15">
        <f>IF(E17="","",TEXT(E17,"0000000000"))</f>
        <v/>
      </c>
      <c r="G17" s="15">
        <f>IF(B17="","",IFERROR(INDEX(DB!$B:$B,MATCH(B17,DB!$A:$A,0)),"-"))</f>
        <v/>
      </c>
      <c r="H17" s="6">
        <f>IF(B17="","",IF(G17="-","NEW ITEM",IF(F17=TEXT(G17,"0000000000"),"MATCH","MISMATCH")))</f>
        <v/>
      </c>
      <c r="I17" s="6">
        <f>IF(B17="","",IF(G17="-","-",IF(F17&lt;&gt;TEXT(G17,"0000000000"),"CHECK - HS MISMATCH","-")))</f>
        <v/>
      </c>
    </row>
    <row r="18" ht="15" customHeight="1">
      <c r="A18" s="16">
        <f>IF(INPUT!A18="","",INPUT!A18)</f>
        <v/>
      </c>
      <c r="B18" s="16">
        <f>IF(INPUT!B18="","",INPUT!B18)</f>
        <v/>
      </c>
      <c r="C18" s="16">
        <f>IF(INPUT!D18="","",INPUT!D18)</f>
        <v/>
      </c>
      <c r="D18" s="16">
        <f>IF(INPUT!C18="","",INPUT!C18)</f>
        <v/>
      </c>
      <c r="E18" s="17">
        <f>IF(INPUT!E18="","",INPUT!E18)</f>
        <v/>
      </c>
      <c r="F18" s="17">
        <f>IF(E18="","",TEXT(E18,"0000000000"))</f>
        <v/>
      </c>
      <c r="G18" s="17">
        <f>IF(B18="","",IFERROR(INDEX(DB!$B:$B,MATCH(B18,DB!$A:$A,0)),"-"))</f>
        <v/>
      </c>
      <c r="H18" s="4">
        <f>IF(B18="","",IF(G18="-","NEW ITEM",IF(F18=TEXT(G18,"0000000000"),"MATCH","MISMATCH")))</f>
        <v/>
      </c>
      <c r="I18" s="4">
        <f>IF(B18="","",IF(G18="-","-",IF(F18&lt;&gt;TEXT(G18,"0000000000"),"CHECK - HS MISMATCH","-")))</f>
        <v/>
      </c>
    </row>
    <row r="19" ht="15" customHeight="1">
      <c r="A19" s="14">
        <f>IF(INPUT!A19="","",INPUT!A19)</f>
        <v/>
      </c>
      <c r="B19" s="14">
        <f>IF(INPUT!B19="","",INPUT!B19)</f>
        <v/>
      </c>
      <c r="C19" s="14">
        <f>IF(INPUT!D19="","",INPUT!D19)</f>
        <v/>
      </c>
      <c r="D19" s="14">
        <f>IF(INPUT!C19="","",INPUT!C19)</f>
        <v/>
      </c>
      <c r="E19" s="15">
        <f>IF(INPUT!E19="","",INPUT!E19)</f>
        <v/>
      </c>
      <c r="F19" s="15">
        <f>IF(E19="","",TEXT(E19,"0000000000"))</f>
        <v/>
      </c>
      <c r="G19" s="15">
        <f>IF(B19="","",IFERROR(INDEX(DB!$B:$B,MATCH(B19,DB!$A:$A,0)),"-"))</f>
        <v/>
      </c>
      <c r="H19" s="6">
        <f>IF(B19="","",IF(G19="-","NEW ITEM",IF(F19=TEXT(G19,"0000000000"),"MATCH","MISMATCH")))</f>
        <v/>
      </c>
      <c r="I19" s="6">
        <f>IF(B19="","",IF(G19="-","-",IF(F19&lt;&gt;TEXT(G19,"0000000000"),"CHECK - HS MISMATCH","-")))</f>
        <v/>
      </c>
    </row>
    <row r="20" ht="15" customHeight="1">
      <c r="A20" s="16">
        <f>IF(INPUT!A20="","",INPUT!A20)</f>
        <v/>
      </c>
      <c r="B20" s="16">
        <f>IF(INPUT!B20="","",INPUT!B20)</f>
        <v/>
      </c>
      <c r="C20" s="16">
        <f>IF(INPUT!D20="","",INPUT!D20)</f>
        <v/>
      </c>
      <c r="D20" s="16">
        <f>IF(INPUT!C20="","",INPUT!C20)</f>
        <v/>
      </c>
      <c r="E20" s="17">
        <f>IF(INPUT!E20="","",INPUT!E20)</f>
        <v/>
      </c>
      <c r="F20" s="17">
        <f>IF(E20="","",TEXT(E20,"0000000000"))</f>
        <v/>
      </c>
      <c r="G20" s="17">
        <f>IF(B20="","",IFERROR(INDEX(DB!$B:$B,MATCH(B20,DB!$A:$A,0)),"-"))</f>
        <v/>
      </c>
      <c r="H20" s="4">
        <f>IF(B20="","",IF(G20="-","NEW ITEM",IF(F20=TEXT(G20,"0000000000"),"MATCH","MISMATCH")))</f>
        <v/>
      </c>
      <c r="I20" s="4">
        <f>IF(B20="","",IF(G20="-","-",IF(F20&lt;&gt;TEXT(G20,"0000000000"),"CHECK - HS MISMATCH","-")))</f>
        <v/>
      </c>
    </row>
    <row r="21" ht="15" customHeight="1">
      <c r="A21" s="14">
        <f>IF(INPUT!A21="","",INPUT!A21)</f>
        <v/>
      </c>
      <c r="B21" s="14">
        <f>IF(INPUT!B21="","",INPUT!B21)</f>
        <v/>
      </c>
      <c r="C21" s="14">
        <f>IF(INPUT!D21="","",INPUT!D21)</f>
        <v/>
      </c>
      <c r="D21" s="14">
        <f>IF(INPUT!C21="","",INPUT!C21)</f>
        <v/>
      </c>
      <c r="E21" s="15">
        <f>IF(INPUT!E21="","",INPUT!E21)</f>
        <v/>
      </c>
      <c r="F21" s="15">
        <f>IF(E21="","",TEXT(E21,"0000000000"))</f>
        <v/>
      </c>
      <c r="G21" s="15">
        <f>IF(B21="","",IFERROR(INDEX(DB!$B:$B,MATCH(B21,DB!$A:$A,0)),"-"))</f>
        <v/>
      </c>
      <c r="H21" s="6">
        <f>IF(B21="","",IF(G21="-","NEW ITEM",IF(F21=TEXT(G21,"0000000000"),"MATCH","MISMATCH")))</f>
        <v/>
      </c>
      <c r="I21" s="6">
        <f>IF(B21="","",IF(G21="-","-",IF(F21&lt;&gt;TEXT(G21,"0000000000"),"CHECK - HS MISMATCH","-")))</f>
        <v/>
      </c>
    </row>
    <row r="22" ht="15" customHeight="1">
      <c r="A22" s="16">
        <f>IF(INPUT!A22="","",INPUT!A22)</f>
        <v/>
      </c>
      <c r="B22" s="16">
        <f>IF(INPUT!B22="","",INPUT!B22)</f>
        <v/>
      </c>
      <c r="C22" s="16">
        <f>IF(INPUT!D22="","",INPUT!D22)</f>
        <v/>
      </c>
      <c r="D22" s="16">
        <f>IF(INPUT!C22="","",INPUT!C22)</f>
        <v/>
      </c>
      <c r="E22" s="17">
        <f>IF(INPUT!E22="","",INPUT!E22)</f>
        <v/>
      </c>
      <c r="F22" s="17">
        <f>IF(E22="","",TEXT(E22,"0000000000"))</f>
        <v/>
      </c>
      <c r="G22" s="17">
        <f>IF(B22="","",IFERROR(INDEX(DB!$B:$B,MATCH(B22,DB!$A:$A,0)),"-"))</f>
        <v/>
      </c>
      <c r="H22" s="4">
        <f>IF(B22="","",IF(G22="-","NEW ITEM",IF(F22=TEXT(G22,"0000000000"),"MATCH","MISMATCH")))</f>
        <v/>
      </c>
      <c r="I22" s="4">
        <f>IF(B22="","",IF(G22="-","-",IF(F22&lt;&gt;TEXT(G22,"0000000000"),"CHECK - HS MISMATCH","-")))</f>
        <v/>
      </c>
    </row>
    <row r="23" ht="15" customHeight="1">
      <c r="A23" s="14">
        <f>IF(INPUT!A23="","",INPUT!A23)</f>
        <v/>
      </c>
      <c r="B23" s="14">
        <f>IF(INPUT!B23="","",INPUT!B23)</f>
        <v/>
      </c>
      <c r="C23" s="14">
        <f>IF(INPUT!D23="","",INPUT!D23)</f>
        <v/>
      </c>
      <c r="D23" s="14">
        <f>IF(INPUT!C23="","",INPUT!C23)</f>
        <v/>
      </c>
      <c r="E23" s="15">
        <f>IF(INPUT!E23="","",INPUT!E23)</f>
        <v/>
      </c>
      <c r="F23" s="15">
        <f>IF(E23="","",TEXT(E23,"0000000000"))</f>
        <v/>
      </c>
      <c r="G23" s="15">
        <f>IF(B23="","",IFERROR(INDEX(DB!$B:$B,MATCH(B23,DB!$A:$A,0)),"-"))</f>
        <v/>
      </c>
      <c r="H23" s="6">
        <f>IF(B23="","",IF(G23="-","NEW ITEM",IF(F23=TEXT(G23,"0000000000"),"MATCH","MISMATCH")))</f>
        <v/>
      </c>
      <c r="I23" s="6">
        <f>IF(B23="","",IF(G23="-","-",IF(F23&lt;&gt;TEXT(G23,"0000000000"),"CHECK - HS MISMATCH","-")))</f>
        <v/>
      </c>
    </row>
    <row r="24" ht="15" customHeight="1">
      <c r="A24" s="16">
        <f>IF(INPUT!A24="","",INPUT!A24)</f>
        <v/>
      </c>
      <c r="B24" s="16">
        <f>IF(INPUT!B24="","",INPUT!B24)</f>
        <v/>
      </c>
      <c r="C24" s="16">
        <f>IF(INPUT!D24="","",INPUT!D24)</f>
        <v/>
      </c>
      <c r="D24" s="16">
        <f>IF(INPUT!C24="","",INPUT!C24)</f>
        <v/>
      </c>
      <c r="E24" s="17">
        <f>IF(INPUT!E24="","",INPUT!E24)</f>
        <v/>
      </c>
      <c r="F24" s="17">
        <f>IF(E24="","",TEXT(E24,"0000000000"))</f>
        <v/>
      </c>
      <c r="G24" s="17">
        <f>IF(B24="","",IFERROR(INDEX(DB!$B:$B,MATCH(B24,DB!$A:$A,0)),"-"))</f>
        <v/>
      </c>
      <c r="H24" s="4">
        <f>IF(B24="","",IF(G24="-","NEW ITEM",IF(F24=TEXT(G24,"0000000000"),"MATCH","MISMATCH")))</f>
        <v/>
      </c>
      <c r="I24" s="4">
        <f>IF(B24="","",IF(G24="-","-",IF(F24&lt;&gt;TEXT(G24,"0000000000"),"CHECK - HS MISMATCH","-")))</f>
        <v/>
      </c>
    </row>
    <row r="25" ht="15" customHeight="1">
      <c r="A25" s="14">
        <f>IF(INPUT!A25="","",INPUT!A25)</f>
        <v/>
      </c>
      <c r="B25" s="14">
        <f>IF(INPUT!B25="","",INPUT!B25)</f>
        <v/>
      </c>
      <c r="C25" s="14">
        <f>IF(INPUT!D25="","",INPUT!D25)</f>
        <v/>
      </c>
      <c r="D25" s="14">
        <f>IF(INPUT!C25="","",INPUT!C25)</f>
        <v/>
      </c>
      <c r="E25" s="15">
        <f>IF(INPUT!E25="","",INPUT!E25)</f>
        <v/>
      </c>
      <c r="F25" s="15">
        <f>IF(E25="","",TEXT(E25,"0000000000"))</f>
        <v/>
      </c>
      <c r="G25" s="15">
        <f>IF(B25="","",IFERROR(INDEX(DB!$B:$B,MATCH(B25,DB!$A:$A,0)),"-"))</f>
        <v/>
      </c>
      <c r="H25" s="6">
        <f>IF(B25="","",IF(G25="-","NEW ITEM",IF(F25=TEXT(G25,"0000000000"),"MATCH","MISMATCH")))</f>
        <v/>
      </c>
      <c r="I25" s="6">
        <f>IF(B25="","",IF(G25="-","-",IF(F25&lt;&gt;TEXT(G25,"0000000000"),"CHECK - HS MISMATCH","-")))</f>
        <v/>
      </c>
    </row>
    <row r="26" ht="15" customHeight="1">
      <c r="A26" s="16">
        <f>IF(INPUT!A26="","",INPUT!A26)</f>
        <v/>
      </c>
      <c r="B26" s="16">
        <f>IF(INPUT!B26="","",INPUT!B26)</f>
        <v/>
      </c>
      <c r="C26" s="16">
        <f>IF(INPUT!D26="","",INPUT!D26)</f>
        <v/>
      </c>
      <c r="D26" s="16">
        <f>IF(INPUT!C26="","",INPUT!C26)</f>
        <v/>
      </c>
      <c r="E26" s="17">
        <f>IF(INPUT!E26="","",INPUT!E26)</f>
        <v/>
      </c>
      <c r="F26" s="17">
        <f>IF(E26="","",TEXT(E26,"0000000000"))</f>
        <v/>
      </c>
      <c r="G26" s="17">
        <f>IF(B26="","",IFERROR(INDEX(DB!$B:$B,MATCH(B26,DB!$A:$A,0)),"-"))</f>
        <v/>
      </c>
      <c r="H26" s="4">
        <f>IF(B26="","",IF(G26="-","NEW ITEM",IF(F26=TEXT(G26,"0000000000"),"MATCH","MISMATCH")))</f>
        <v/>
      </c>
      <c r="I26" s="4">
        <f>IF(B26="","",IF(G26="-","-",IF(F26&lt;&gt;TEXT(G26,"0000000000"),"CHECK - HS MISMATCH","-")))</f>
        <v/>
      </c>
    </row>
    <row r="27" ht="15" customHeight="1">
      <c r="A27" s="14">
        <f>IF(INPUT!A27="","",INPUT!A27)</f>
        <v/>
      </c>
      <c r="B27" s="14">
        <f>IF(INPUT!B27="","",INPUT!B27)</f>
        <v/>
      </c>
      <c r="C27" s="14">
        <f>IF(INPUT!D27="","",INPUT!D27)</f>
        <v/>
      </c>
      <c r="D27" s="14">
        <f>IF(INPUT!C27="","",INPUT!C27)</f>
        <v/>
      </c>
      <c r="E27" s="15">
        <f>IF(INPUT!E27="","",INPUT!E27)</f>
        <v/>
      </c>
      <c r="F27" s="15">
        <f>IF(E27="","",TEXT(E27,"0000000000"))</f>
        <v/>
      </c>
      <c r="G27" s="15">
        <f>IF(B27="","",IFERROR(INDEX(DB!$B:$B,MATCH(B27,DB!$A:$A,0)),"-"))</f>
        <v/>
      </c>
      <c r="H27" s="6">
        <f>IF(B27="","",IF(G27="-","NEW ITEM",IF(F27=TEXT(G27,"0000000000"),"MATCH","MISMATCH")))</f>
        <v/>
      </c>
      <c r="I27" s="6">
        <f>IF(B27="","",IF(G27="-","-",IF(F27&lt;&gt;TEXT(G27,"0000000000"),"CHECK - HS MISMATCH","-")))</f>
        <v/>
      </c>
    </row>
    <row r="28" ht="15" customHeight="1">
      <c r="A28" s="16">
        <f>IF(INPUT!A28="","",INPUT!A28)</f>
        <v/>
      </c>
      <c r="B28" s="16">
        <f>IF(INPUT!B28="","",INPUT!B28)</f>
        <v/>
      </c>
      <c r="C28" s="16">
        <f>IF(INPUT!D28="","",INPUT!D28)</f>
        <v/>
      </c>
      <c r="D28" s="16">
        <f>IF(INPUT!C28="","",INPUT!C28)</f>
        <v/>
      </c>
      <c r="E28" s="17">
        <f>IF(INPUT!E28="","",INPUT!E28)</f>
        <v/>
      </c>
      <c r="F28" s="17">
        <f>IF(E28="","",TEXT(E28,"0000000000"))</f>
        <v/>
      </c>
      <c r="G28" s="17">
        <f>IF(B28="","",IFERROR(INDEX(DB!$B:$B,MATCH(B28,DB!$A:$A,0)),"-"))</f>
        <v/>
      </c>
      <c r="H28" s="4">
        <f>IF(B28="","",IF(G28="-","NEW ITEM",IF(F28=TEXT(G28,"0000000000"),"MATCH","MISMATCH")))</f>
        <v/>
      </c>
      <c r="I28" s="4">
        <f>IF(B28="","",IF(G28="-","-",IF(F28&lt;&gt;TEXT(G28,"0000000000"),"CHECK - HS MISMATCH","-")))</f>
        <v/>
      </c>
    </row>
    <row r="29" ht="15" customHeight="1">
      <c r="A29" s="14">
        <f>IF(INPUT!A29="","",INPUT!A29)</f>
        <v/>
      </c>
      <c r="B29" s="14">
        <f>IF(INPUT!B29="","",INPUT!B29)</f>
        <v/>
      </c>
      <c r="C29" s="14">
        <f>IF(INPUT!D29="","",INPUT!D29)</f>
        <v/>
      </c>
      <c r="D29" s="14">
        <f>IF(INPUT!C29="","",INPUT!C29)</f>
        <v/>
      </c>
      <c r="E29" s="15">
        <f>IF(INPUT!E29="","",INPUT!E29)</f>
        <v/>
      </c>
      <c r="F29" s="15">
        <f>IF(E29="","",TEXT(E29,"0000000000"))</f>
        <v/>
      </c>
      <c r="G29" s="15">
        <f>IF(B29="","",IFERROR(INDEX(DB!$B:$B,MATCH(B29,DB!$A:$A,0)),"-"))</f>
        <v/>
      </c>
      <c r="H29" s="6">
        <f>IF(B29="","",IF(G29="-","NEW ITEM",IF(F29=TEXT(G29,"0000000000"),"MATCH","MISMATCH")))</f>
        <v/>
      </c>
      <c r="I29" s="6">
        <f>IF(B29="","",IF(G29="-","-",IF(F29&lt;&gt;TEXT(G29,"0000000000"),"CHECK - HS MISMATCH","-")))</f>
        <v/>
      </c>
    </row>
    <row r="30" ht="15" customHeight="1">
      <c r="A30" s="16">
        <f>IF(INPUT!A30="","",INPUT!A30)</f>
        <v/>
      </c>
      <c r="B30" s="16">
        <f>IF(INPUT!B30="","",INPUT!B30)</f>
        <v/>
      </c>
      <c r="C30" s="16">
        <f>IF(INPUT!D30="","",INPUT!D30)</f>
        <v/>
      </c>
      <c r="D30" s="16">
        <f>IF(INPUT!C30="","",INPUT!C30)</f>
        <v/>
      </c>
      <c r="E30" s="17">
        <f>IF(INPUT!E30="","",INPUT!E30)</f>
        <v/>
      </c>
      <c r="F30" s="17">
        <f>IF(E30="","",TEXT(E30,"0000000000"))</f>
        <v/>
      </c>
      <c r="G30" s="17">
        <f>IF(B30="","",IFERROR(INDEX(DB!$B:$B,MATCH(B30,DB!$A:$A,0)),"-"))</f>
        <v/>
      </c>
      <c r="H30" s="4">
        <f>IF(B30="","",IF(G30="-","NEW ITEM",IF(F30=TEXT(G30,"0000000000"),"MATCH","MISMATCH")))</f>
        <v/>
      </c>
      <c r="I30" s="4">
        <f>IF(B30="","",IF(G30="-","-",IF(F30&lt;&gt;TEXT(G30,"0000000000"),"CHECK - HS MISMATCH","-")))</f>
        <v/>
      </c>
    </row>
    <row r="31" ht="15" customHeight="1">
      <c r="A31" s="14">
        <f>IF(INPUT!A31="","",INPUT!A31)</f>
        <v/>
      </c>
      <c r="B31" s="14">
        <f>IF(INPUT!B31="","",INPUT!B31)</f>
        <v/>
      </c>
      <c r="C31" s="14">
        <f>IF(INPUT!D31="","",INPUT!D31)</f>
        <v/>
      </c>
      <c r="D31" s="14">
        <f>IF(INPUT!C31="","",INPUT!C31)</f>
        <v/>
      </c>
      <c r="E31" s="15">
        <f>IF(INPUT!E31="","",INPUT!E31)</f>
        <v/>
      </c>
      <c r="F31" s="15">
        <f>IF(E31="","",TEXT(E31,"0000000000"))</f>
        <v/>
      </c>
      <c r="G31" s="15">
        <f>IF(B31="","",IFERROR(INDEX(DB!$B:$B,MATCH(B31,DB!$A:$A,0)),"-"))</f>
        <v/>
      </c>
      <c r="H31" s="6">
        <f>IF(B31="","",IF(G31="-","NEW ITEM",IF(F31=TEXT(G31,"0000000000"),"MATCH","MISMATCH")))</f>
        <v/>
      </c>
      <c r="I31" s="6">
        <f>IF(B31="","",IF(G31="-","-",IF(F31&lt;&gt;TEXT(G31,"0000000000"),"CHECK - HS MISMATCH","-")))</f>
        <v/>
      </c>
    </row>
    <row r="32" ht="15" customHeight="1">
      <c r="A32" s="16">
        <f>IF(INPUT!A32="","",INPUT!A32)</f>
        <v/>
      </c>
      <c r="B32" s="16">
        <f>IF(INPUT!B32="","",INPUT!B32)</f>
        <v/>
      </c>
      <c r="C32" s="16">
        <f>IF(INPUT!D32="","",INPUT!D32)</f>
        <v/>
      </c>
      <c r="D32" s="16">
        <f>IF(INPUT!C32="","",INPUT!C32)</f>
        <v/>
      </c>
      <c r="E32" s="17">
        <f>IF(INPUT!E32="","",INPUT!E32)</f>
        <v/>
      </c>
      <c r="F32" s="17">
        <f>IF(E32="","",TEXT(E32,"0000000000"))</f>
        <v/>
      </c>
      <c r="G32" s="17">
        <f>IF(B32="","",IFERROR(INDEX(DB!$B:$B,MATCH(B32,DB!$A:$A,0)),"-"))</f>
        <v/>
      </c>
      <c r="H32" s="4">
        <f>IF(B32="","",IF(G32="-","NEW ITEM",IF(F32=TEXT(G32,"0000000000"),"MATCH","MISMATCH")))</f>
        <v/>
      </c>
      <c r="I32" s="4">
        <f>IF(B32="","",IF(G32="-","-",IF(F32&lt;&gt;TEXT(G32,"0000000000"),"CHECK - HS MISMATCH","-")))</f>
        <v/>
      </c>
    </row>
    <row r="33" ht="15" customHeight="1">
      <c r="A33" s="14">
        <f>IF(INPUT!A33="","",INPUT!A33)</f>
        <v/>
      </c>
      <c r="B33" s="14">
        <f>IF(INPUT!B33="","",INPUT!B33)</f>
        <v/>
      </c>
      <c r="C33" s="14">
        <f>IF(INPUT!D33="","",INPUT!D33)</f>
        <v/>
      </c>
      <c r="D33" s="14">
        <f>IF(INPUT!C33="","",INPUT!C33)</f>
        <v/>
      </c>
      <c r="E33" s="15">
        <f>IF(INPUT!E33="","",INPUT!E33)</f>
        <v/>
      </c>
      <c r="F33" s="15">
        <f>IF(E33="","",TEXT(E33,"0000000000"))</f>
        <v/>
      </c>
      <c r="G33" s="15">
        <f>IF(B33="","",IFERROR(INDEX(DB!$B:$B,MATCH(B33,DB!$A:$A,0)),"-"))</f>
        <v/>
      </c>
      <c r="H33" s="6">
        <f>IF(B33="","",IF(G33="-","NEW ITEM",IF(F33=TEXT(G33,"0000000000"),"MATCH","MISMATCH")))</f>
        <v/>
      </c>
      <c r="I33" s="6">
        <f>IF(B33="","",IF(G33="-","-",IF(F33&lt;&gt;TEXT(G33,"0000000000"),"CHECK - HS MISMATCH","-")))</f>
        <v/>
      </c>
    </row>
    <row r="34" ht="15" customHeight="1">
      <c r="A34" s="16">
        <f>IF(INPUT!A34="","",INPUT!A34)</f>
        <v/>
      </c>
      <c r="B34" s="16">
        <f>IF(INPUT!B34="","",INPUT!B34)</f>
        <v/>
      </c>
      <c r="C34" s="16">
        <f>IF(INPUT!D34="","",INPUT!D34)</f>
        <v/>
      </c>
      <c r="D34" s="16">
        <f>IF(INPUT!C34="","",INPUT!C34)</f>
        <v/>
      </c>
      <c r="E34" s="17">
        <f>IF(INPUT!E34="","",INPUT!E34)</f>
        <v/>
      </c>
      <c r="F34" s="17">
        <f>IF(E34="","",TEXT(E34,"0000000000"))</f>
        <v/>
      </c>
      <c r="G34" s="17">
        <f>IF(B34="","",IFERROR(INDEX(DB!$B:$B,MATCH(B34,DB!$A:$A,0)),"-"))</f>
        <v/>
      </c>
      <c r="H34" s="4">
        <f>IF(B34="","",IF(G34="-","NEW ITEM",IF(F34=TEXT(G34,"0000000000"),"MATCH","MISMATCH")))</f>
        <v/>
      </c>
      <c r="I34" s="4">
        <f>IF(B34="","",IF(G34="-","-",IF(F34&lt;&gt;TEXT(G34,"0000000000"),"CHECK - HS MISMATCH","-")))</f>
        <v/>
      </c>
    </row>
    <row r="35" ht="15" customHeight="1">
      <c r="A35" s="14">
        <f>IF(INPUT!A35="","",INPUT!A35)</f>
        <v/>
      </c>
      <c r="B35" s="14">
        <f>IF(INPUT!B35="","",INPUT!B35)</f>
        <v/>
      </c>
      <c r="C35" s="14">
        <f>IF(INPUT!D35="","",INPUT!D35)</f>
        <v/>
      </c>
      <c r="D35" s="14">
        <f>IF(INPUT!C35="","",INPUT!C35)</f>
        <v/>
      </c>
      <c r="E35" s="15">
        <f>IF(INPUT!E35="","",INPUT!E35)</f>
        <v/>
      </c>
      <c r="F35" s="15">
        <f>IF(E35="","",TEXT(E35,"0000000000"))</f>
        <v/>
      </c>
      <c r="G35" s="15">
        <f>IF(B35="","",IFERROR(INDEX(DB!$B:$B,MATCH(B35,DB!$A:$A,0)),"-"))</f>
        <v/>
      </c>
      <c r="H35" s="6">
        <f>IF(B35="","",IF(G35="-","NEW ITEM",IF(F35=TEXT(G35,"0000000000"),"MATCH","MISMATCH")))</f>
        <v/>
      </c>
      <c r="I35" s="6">
        <f>IF(B35="","",IF(G35="-","-",IF(F35&lt;&gt;TEXT(G35,"0000000000"),"CHECK - HS MISMATCH","-")))</f>
        <v/>
      </c>
    </row>
    <row r="36" ht="15" customHeight="1">
      <c r="A36" s="16">
        <f>IF(INPUT!A36="","",INPUT!A36)</f>
        <v/>
      </c>
      <c r="B36" s="16">
        <f>IF(INPUT!B36="","",INPUT!B36)</f>
        <v/>
      </c>
      <c r="C36" s="16">
        <f>IF(INPUT!D36="","",INPUT!D36)</f>
        <v/>
      </c>
      <c r="D36" s="16">
        <f>IF(INPUT!C36="","",INPUT!C36)</f>
        <v/>
      </c>
      <c r="E36" s="17">
        <f>IF(INPUT!E36="","",INPUT!E36)</f>
        <v/>
      </c>
      <c r="F36" s="17">
        <f>IF(E36="","",TEXT(E36,"0000000000"))</f>
        <v/>
      </c>
      <c r="G36" s="17">
        <f>IF(B36="","",IFERROR(INDEX(DB!$B:$B,MATCH(B36,DB!$A:$A,0)),"-"))</f>
        <v/>
      </c>
      <c r="H36" s="4">
        <f>IF(B36="","",IF(G36="-","NEW ITEM",IF(F36=TEXT(G36,"0000000000"),"MATCH","MISMATCH")))</f>
        <v/>
      </c>
      <c r="I36" s="4">
        <f>IF(B36="","",IF(G36="-","-",IF(F36&lt;&gt;TEXT(G36,"0000000000"),"CHECK - HS MISMATCH","-")))</f>
        <v/>
      </c>
    </row>
    <row r="37" ht="15" customHeight="1">
      <c r="A37" s="14">
        <f>IF(INPUT!A37="","",INPUT!A37)</f>
        <v/>
      </c>
      <c r="B37" s="14">
        <f>IF(INPUT!B37="","",INPUT!B37)</f>
        <v/>
      </c>
      <c r="C37" s="14">
        <f>IF(INPUT!D37="","",INPUT!D37)</f>
        <v/>
      </c>
      <c r="D37" s="14">
        <f>IF(INPUT!C37="","",INPUT!C37)</f>
        <v/>
      </c>
      <c r="E37" s="15">
        <f>IF(INPUT!E37="","",INPUT!E37)</f>
        <v/>
      </c>
      <c r="F37" s="15">
        <f>IF(E37="","",TEXT(E37,"0000000000"))</f>
        <v/>
      </c>
      <c r="G37" s="15">
        <f>IF(B37="","",IFERROR(INDEX(DB!$B:$B,MATCH(B37,DB!$A:$A,0)),"-"))</f>
        <v/>
      </c>
      <c r="H37" s="6">
        <f>IF(B37="","",IF(G37="-","NEW ITEM",IF(F37=TEXT(G37,"0000000000"),"MATCH","MISMATCH")))</f>
        <v/>
      </c>
      <c r="I37" s="6">
        <f>IF(B37="","",IF(G37="-","-",IF(F37&lt;&gt;TEXT(G37,"0000000000"),"CHECK - HS MISMATCH","-")))</f>
        <v/>
      </c>
    </row>
    <row r="38" ht="15" customHeight="1">
      <c r="A38" s="16">
        <f>IF(INPUT!A38="","",INPUT!A38)</f>
        <v/>
      </c>
      <c r="B38" s="16">
        <f>IF(INPUT!B38="","",INPUT!B38)</f>
        <v/>
      </c>
      <c r="C38" s="16">
        <f>IF(INPUT!D38="","",INPUT!D38)</f>
        <v/>
      </c>
      <c r="D38" s="16">
        <f>IF(INPUT!C38="","",INPUT!C38)</f>
        <v/>
      </c>
      <c r="E38" s="17">
        <f>IF(INPUT!E38="","",INPUT!E38)</f>
        <v/>
      </c>
      <c r="F38" s="17">
        <f>IF(E38="","",TEXT(E38,"0000000000"))</f>
        <v/>
      </c>
      <c r="G38" s="17">
        <f>IF(B38="","",IFERROR(INDEX(DB!$B:$B,MATCH(B38,DB!$A:$A,0)),"-"))</f>
        <v/>
      </c>
      <c r="H38" s="4">
        <f>IF(B38="","",IF(G38="-","NEW ITEM",IF(F38=TEXT(G38,"0000000000"),"MATCH","MISMATCH")))</f>
        <v/>
      </c>
      <c r="I38" s="4">
        <f>IF(B38="","",IF(G38="-","-",IF(F38&lt;&gt;TEXT(G38,"0000000000"),"CHECK - HS MISMATCH","-")))</f>
        <v/>
      </c>
    </row>
    <row r="39" ht="15" customHeight="1">
      <c r="A39" s="14">
        <f>IF(INPUT!A39="","",INPUT!A39)</f>
        <v/>
      </c>
      <c r="B39" s="14">
        <f>IF(INPUT!B39="","",INPUT!B39)</f>
        <v/>
      </c>
      <c r="C39" s="14">
        <f>IF(INPUT!D39="","",INPUT!D39)</f>
        <v/>
      </c>
      <c r="D39" s="14">
        <f>IF(INPUT!C39="","",INPUT!C39)</f>
        <v/>
      </c>
      <c r="E39" s="15">
        <f>IF(INPUT!E39="","",INPUT!E39)</f>
        <v/>
      </c>
      <c r="F39" s="15">
        <f>IF(E39="","",TEXT(E39,"0000000000"))</f>
        <v/>
      </c>
      <c r="G39" s="15">
        <f>IF(B39="","",IFERROR(INDEX(DB!$B:$B,MATCH(B39,DB!$A:$A,0)),"-"))</f>
        <v/>
      </c>
      <c r="H39" s="6">
        <f>IF(B39="","",IF(G39="-","NEW ITEM",IF(F39=TEXT(G39,"0000000000"),"MATCH","MISMATCH")))</f>
        <v/>
      </c>
      <c r="I39" s="6">
        <f>IF(B39="","",IF(G39="-","-",IF(F39&lt;&gt;TEXT(G39,"0000000000"),"CHECK - HS MISMATCH","-")))</f>
        <v/>
      </c>
    </row>
    <row r="40" ht="15" customHeight="1">
      <c r="A40" s="16">
        <f>IF(INPUT!A40="","",INPUT!A40)</f>
        <v/>
      </c>
      <c r="B40" s="16">
        <f>IF(INPUT!B40="","",INPUT!B40)</f>
        <v/>
      </c>
      <c r="C40" s="16">
        <f>IF(INPUT!D40="","",INPUT!D40)</f>
        <v/>
      </c>
      <c r="D40" s="16">
        <f>IF(INPUT!C40="","",INPUT!C40)</f>
        <v/>
      </c>
      <c r="E40" s="17">
        <f>IF(INPUT!E40="","",INPUT!E40)</f>
        <v/>
      </c>
      <c r="F40" s="17">
        <f>IF(E40="","",TEXT(E40,"0000000000"))</f>
        <v/>
      </c>
      <c r="G40" s="17">
        <f>IF(B40="","",IFERROR(INDEX(DB!$B:$B,MATCH(B40,DB!$A:$A,0)),"-"))</f>
        <v/>
      </c>
      <c r="H40" s="4">
        <f>IF(B40="","",IF(G40="-","NEW ITEM",IF(F40=TEXT(G40,"0000000000"),"MATCH","MISMATCH")))</f>
        <v/>
      </c>
      <c r="I40" s="4">
        <f>IF(B40="","",IF(G40="-","-",IF(F40&lt;&gt;TEXT(G40,"0000000000"),"CHECK - HS MISMATCH","-")))</f>
        <v/>
      </c>
    </row>
    <row r="41" ht="15" customHeight="1">
      <c r="A41" s="14">
        <f>IF(INPUT!A41="","",INPUT!A41)</f>
        <v/>
      </c>
      <c r="B41" s="14">
        <f>IF(INPUT!B41="","",INPUT!B41)</f>
        <v/>
      </c>
      <c r="C41" s="14">
        <f>IF(INPUT!D41="","",INPUT!D41)</f>
        <v/>
      </c>
      <c r="D41" s="14">
        <f>IF(INPUT!C41="","",INPUT!C41)</f>
        <v/>
      </c>
      <c r="E41" s="15">
        <f>IF(INPUT!E41="","",INPUT!E41)</f>
        <v/>
      </c>
      <c r="F41" s="15">
        <f>IF(E41="","",TEXT(E41,"0000000000"))</f>
        <v/>
      </c>
      <c r="G41" s="15">
        <f>IF(B41="","",IFERROR(INDEX(DB!$B:$B,MATCH(B41,DB!$A:$A,0)),"-"))</f>
        <v/>
      </c>
      <c r="H41" s="6">
        <f>IF(B41="","",IF(G41="-","NEW ITEM",IF(F41=TEXT(G41,"0000000000"),"MATCH","MISMATCH")))</f>
        <v/>
      </c>
      <c r="I41" s="6">
        <f>IF(B41="","",IF(G41="-","-",IF(F41&lt;&gt;TEXT(G41,"0000000000"),"CHECK - HS MISMATCH","-")))</f>
        <v/>
      </c>
    </row>
    <row r="42" ht="15" customHeight="1">
      <c r="A42" s="16">
        <f>IF(INPUT!A42="","",INPUT!A42)</f>
        <v/>
      </c>
      <c r="B42" s="16">
        <f>IF(INPUT!B42="","",INPUT!B42)</f>
        <v/>
      </c>
      <c r="C42" s="16">
        <f>IF(INPUT!D42="","",INPUT!D42)</f>
        <v/>
      </c>
      <c r="D42" s="16">
        <f>IF(INPUT!C42="","",INPUT!C42)</f>
        <v/>
      </c>
      <c r="E42" s="17">
        <f>IF(INPUT!E42="","",INPUT!E42)</f>
        <v/>
      </c>
      <c r="F42" s="17">
        <f>IF(E42="","",TEXT(E42,"0000000000"))</f>
        <v/>
      </c>
      <c r="G42" s="17">
        <f>IF(B42="","",IFERROR(INDEX(DB!$B:$B,MATCH(B42,DB!$A:$A,0)),"-"))</f>
        <v/>
      </c>
      <c r="H42" s="4">
        <f>IF(B42="","",IF(G42="-","NEW ITEM",IF(F42=TEXT(G42,"0000000000"),"MATCH","MISMATCH")))</f>
        <v/>
      </c>
      <c r="I42" s="4">
        <f>IF(B42="","",IF(G42="-","-",IF(F42&lt;&gt;TEXT(G42,"0000000000"),"CHECK - HS MISMATCH","-")))</f>
        <v/>
      </c>
    </row>
    <row r="43" ht="15" customHeight="1">
      <c r="A43" s="14">
        <f>IF(INPUT!A43="","",INPUT!A43)</f>
        <v/>
      </c>
      <c r="B43" s="14">
        <f>IF(INPUT!B43="","",INPUT!B43)</f>
        <v/>
      </c>
      <c r="C43" s="14">
        <f>IF(INPUT!D43="","",INPUT!D43)</f>
        <v/>
      </c>
      <c r="D43" s="14">
        <f>IF(INPUT!C43="","",INPUT!C43)</f>
        <v/>
      </c>
      <c r="E43" s="15">
        <f>IF(INPUT!E43="","",INPUT!E43)</f>
        <v/>
      </c>
      <c r="F43" s="15">
        <f>IF(E43="","",TEXT(E43,"0000000000"))</f>
        <v/>
      </c>
      <c r="G43" s="15">
        <f>IF(B43="","",IFERROR(INDEX(DB!$B:$B,MATCH(B43,DB!$A:$A,0)),"-"))</f>
        <v/>
      </c>
      <c r="H43" s="6">
        <f>IF(B43="","",IF(G43="-","NEW ITEM",IF(F43=TEXT(G43,"0000000000"),"MATCH","MISMATCH")))</f>
        <v/>
      </c>
      <c r="I43" s="6">
        <f>IF(B43="","",IF(G43="-","-",IF(F43&lt;&gt;TEXT(G43,"0000000000"),"CHECK - HS MISMATCH","-")))</f>
        <v/>
      </c>
    </row>
    <row r="44" ht="15" customHeight="1">
      <c r="A44" s="16">
        <f>IF(INPUT!A44="","",INPUT!A44)</f>
        <v/>
      </c>
      <c r="B44" s="16">
        <f>IF(INPUT!B44="","",INPUT!B44)</f>
        <v/>
      </c>
      <c r="C44" s="16">
        <f>IF(INPUT!D44="","",INPUT!D44)</f>
        <v/>
      </c>
      <c r="D44" s="16">
        <f>IF(INPUT!C44="","",INPUT!C44)</f>
        <v/>
      </c>
      <c r="E44" s="17">
        <f>IF(INPUT!E44="","",INPUT!E44)</f>
        <v/>
      </c>
      <c r="F44" s="17">
        <f>IF(E44="","",TEXT(E44,"0000000000"))</f>
        <v/>
      </c>
      <c r="G44" s="17">
        <f>IF(B44="","",IFERROR(INDEX(DB!$B:$B,MATCH(B44,DB!$A:$A,0)),"-"))</f>
        <v/>
      </c>
      <c r="H44" s="4">
        <f>IF(B44="","",IF(G44="-","NEW ITEM",IF(F44=TEXT(G44,"0000000000"),"MATCH","MISMATCH")))</f>
        <v/>
      </c>
      <c r="I44" s="4">
        <f>IF(B44="","",IF(G44="-","-",IF(F44&lt;&gt;TEXT(G44,"0000000000"),"CHECK - HS MISMATCH","-")))</f>
        <v/>
      </c>
    </row>
    <row r="45" ht="15" customHeight="1">
      <c r="A45" s="14">
        <f>IF(INPUT!A45="","",INPUT!A45)</f>
        <v/>
      </c>
      <c r="B45" s="14">
        <f>IF(INPUT!B45="","",INPUT!B45)</f>
        <v/>
      </c>
      <c r="C45" s="14">
        <f>IF(INPUT!D45="","",INPUT!D45)</f>
        <v/>
      </c>
      <c r="D45" s="14">
        <f>IF(INPUT!C45="","",INPUT!C45)</f>
        <v/>
      </c>
      <c r="E45" s="15">
        <f>IF(INPUT!E45="","",INPUT!E45)</f>
        <v/>
      </c>
      <c r="F45" s="15">
        <f>IF(E45="","",TEXT(E45,"0000000000"))</f>
        <v/>
      </c>
      <c r="G45" s="15">
        <f>IF(B45="","",IFERROR(INDEX(DB!$B:$B,MATCH(B45,DB!$A:$A,0)),"-"))</f>
        <v/>
      </c>
      <c r="H45" s="6">
        <f>IF(B45="","",IF(G45="-","NEW ITEM",IF(F45=TEXT(G45,"0000000000"),"MATCH","MISMATCH")))</f>
        <v/>
      </c>
      <c r="I45" s="6">
        <f>IF(B45="","",IF(G45="-","-",IF(F45&lt;&gt;TEXT(G45,"0000000000"),"CHECK - HS MISMATCH","-")))</f>
        <v/>
      </c>
    </row>
    <row r="46" ht="15" customHeight="1">
      <c r="A46" s="16">
        <f>IF(INPUT!A46="","",INPUT!A46)</f>
        <v/>
      </c>
      <c r="B46" s="16">
        <f>IF(INPUT!B46="","",INPUT!B46)</f>
        <v/>
      </c>
      <c r="C46" s="16">
        <f>IF(INPUT!D46="","",INPUT!D46)</f>
        <v/>
      </c>
      <c r="D46" s="16">
        <f>IF(INPUT!C46="","",INPUT!C46)</f>
        <v/>
      </c>
      <c r="E46" s="17">
        <f>IF(INPUT!E46="","",INPUT!E46)</f>
        <v/>
      </c>
      <c r="F46" s="17">
        <f>IF(E46="","",TEXT(E46,"0000000000"))</f>
        <v/>
      </c>
      <c r="G46" s="17">
        <f>IF(B46="","",IFERROR(INDEX(DB!$B:$B,MATCH(B46,DB!$A:$A,0)),"-"))</f>
        <v/>
      </c>
      <c r="H46" s="4">
        <f>IF(B46="","",IF(G46="-","NEW ITEM",IF(F46=TEXT(G46,"0000000000"),"MATCH","MISMATCH")))</f>
        <v/>
      </c>
      <c r="I46" s="4">
        <f>IF(B46="","",IF(G46="-","-",IF(F46&lt;&gt;TEXT(G46,"0000000000"),"CHECK - HS MISMATCH","-")))</f>
        <v/>
      </c>
    </row>
    <row r="47" ht="15" customHeight="1">
      <c r="A47" s="14">
        <f>IF(INPUT!A47="","",INPUT!A47)</f>
        <v/>
      </c>
      <c r="B47" s="14">
        <f>IF(INPUT!B47="","",INPUT!B47)</f>
        <v/>
      </c>
      <c r="C47" s="14">
        <f>IF(INPUT!D47="","",INPUT!D47)</f>
        <v/>
      </c>
      <c r="D47" s="14">
        <f>IF(INPUT!C47="","",INPUT!C47)</f>
        <v/>
      </c>
      <c r="E47" s="15">
        <f>IF(INPUT!E47="","",INPUT!E47)</f>
        <v/>
      </c>
      <c r="F47" s="15">
        <f>IF(E47="","",TEXT(E47,"0000000000"))</f>
        <v/>
      </c>
      <c r="G47" s="15">
        <f>IF(B47="","",IFERROR(INDEX(DB!$B:$B,MATCH(B47,DB!$A:$A,0)),"-"))</f>
        <v/>
      </c>
      <c r="H47" s="6">
        <f>IF(B47="","",IF(G47="-","NEW ITEM",IF(F47=TEXT(G47,"0000000000"),"MATCH","MISMATCH")))</f>
        <v/>
      </c>
      <c r="I47" s="6">
        <f>IF(B47="","",IF(G47="-","-",IF(F47&lt;&gt;TEXT(G47,"0000000000"),"CHECK - HS MISMATCH","-")))</f>
        <v/>
      </c>
    </row>
    <row r="48" ht="15" customHeight="1">
      <c r="A48" s="16">
        <f>IF(INPUT!A48="","",INPUT!A48)</f>
        <v/>
      </c>
      <c r="B48" s="16">
        <f>IF(INPUT!B48="","",INPUT!B48)</f>
        <v/>
      </c>
      <c r="C48" s="16">
        <f>IF(INPUT!D48="","",INPUT!D48)</f>
        <v/>
      </c>
      <c r="D48" s="16">
        <f>IF(INPUT!C48="","",INPUT!C48)</f>
        <v/>
      </c>
      <c r="E48" s="17">
        <f>IF(INPUT!E48="","",INPUT!E48)</f>
        <v/>
      </c>
      <c r="F48" s="17">
        <f>IF(E48="","",TEXT(E48,"0000000000"))</f>
        <v/>
      </c>
      <c r="G48" s="17">
        <f>IF(B48="","",IFERROR(INDEX(DB!$B:$B,MATCH(B48,DB!$A:$A,0)),"-"))</f>
        <v/>
      </c>
      <c r="H48" s="4">
        <f>IF(B48="","",IF(G48="-","NEW ITEM",IF(F48=TEXT(G48,"0000000000"),"MATCH","MISMATCH")))</f>
        <v/>
      </c>
      <c r="I48" s="4">
        <f>IF(B48="","",IF(G48="-","-",IF(F48&lt;&gt;TEXT(G48,"0000000000"),"CHECK - HS MISMATCH","-")))</f>
        <v/>
      </c>
    </row>
    <row r="49" ht="15" customHeight="1">
      <c r="A49" s="14">
        <f>IF(INPUT!A49="","",INPUT!A49)</f>
        <v/>
      </c>
      <c r="B49" s="14">
        <f>IF(INPUT!B49="","",INPUT!B49)</f>
        <v/>
      </c>
      <c r="C49" s="14">
        <f>IF(INPUT!D49="","",INPUT!D49)</f>
        <v/>
      </c>
      <c r="D49" s="14">
        <f>IF(INPUT!C49="","",INPUT!C49)</f>
        <v/>
      </c>
      <c r="E49" s="15">
        <f>IF(INPUT!E49="","",INPUT!E49)</f>
        <v/>
      </c>
      <c r="F49" s="15">
        <f>IF(E49="","",TEXT(E49,"0000000000"))</f>
        <v/>
      </c>
      <c r="G49" s="15">
        <f>IF(B49="","",IFERROR(INDEX(DB!$B:$B,MATCH(B49,DB!$A:$A,0)),"-"))</f>
        <v/>
      </c>
      <c r="H49" s="6">
        <f>IF(B49="","",IF(G49="-","NEW ITEM",IF(F49=TEXT(G49,"0000000000"),"MATCH","MISMATCH")))</f>
        <v/>
      </c>
      <c r="I49" s="6">
        <f>IF(B49="","",IF(G49="-","-",IF(F49&lt;&gt;TEXT(G49,"0000000000"),"CHECK - HS MISMATCH","-")))</f>
        <v/>
      </c>
    </row>
    <row r="50" ht="15" customHeight="1">
      <c r="A50" s="16">
        <f>IF(INPUT!A50="","",INPUT!A50)</f>
        <v/>
      </c>
      <c r="B50" s="16">
        <f>IF(INPUT!B50="","",INPUT!B50)</f>
        <v/>
      </c>
      <c r="C50" s="16">
        <f>IF(INPUT!D50="","",INPUT!D50)</f>
        <v/>
      </c>
      <c r="D50" s="16">
        <f>IF(INPUT!C50="","",INPUT!C50)</f>
        <v/>
      </c>
      <c r="E50" s="17">
        <f>IF(INPUT!E50="","",INPUT!E50)</f>
        <v/>
      </c>
      <c r="F50" s="17">
        <f>IF(E50="","",TEXT(E50,"0000000000"))</f>
        <v/>
      </c>
      <c r="G50" s="17">
        <f>IF(B50="","",IFERROR(INDEX(DB!$B:$B,MATCH(B50,DB!$A:$A,0)),"-"))</f>
        <v/>
      </c>
      <c r="H50" s="4">
        <f>IF(B50="","",IF(G50="-","NEW ITEM",IF(F50=TEXT(G50,"0000000000"),"MATCH","MISMATCH")))</f>
        <v/>
      </c>
      <c r="I50" s="4">
        <f>IF(B50="","",IF(G50="-","-",IF(F50&lt;&gt;TEXT(G50,"0000000000"),"CHECK - HS MISMATCH","-")))</f>
        <v/>
      </c>
    </row>
    <row r="51" ht="15" customHeight="1">
      <c r="A51" s="14">
        <f>IF(INPUT!A51="","",INPUT!A51)</f>
        <v/>
      </c>
      <c r="B51" s="14">
        <f>IF(INPUT!B51="","",INPUT!B51)</f>
        <v/>
      </c>
      <c r="C51" s="14">
        <f>IF(INPUT!D51="","",INPUT!D51)</f>
        <v/>
      </c>
      <c r="D51" s="14">
        <f>IF(INPUT!C51="","",INPUT!C51)</f>
        <v/>
      </c>
      <c r="E51" s="15">
        <f>IF(INPUT!E51="","",INPUT!E51)</f>
        <v/>
      </c>
      <c r="F51" s="15">
        <f>IF(E51="","",TEXT(E51,"0000000000"))</f>
        <v/>
      </c>
      <c r="G51" s="15">
        <f>IF(B51="","",IFERROR(INDEX(DB!$B:$B,MATCH(B51,DB!$A:$A,0)),"-"))</f>
        <v/>
      </c>
      <c r="H51" s="6">
        <f>IF(B51="","",IF(G51="-","NEW ITEM",IF(F51=TEXT(G51,"0000000000"),"MATCH","MISMATCH")))</f>
        <v/>
      </c>
      <c r="I51" s="6">
        <f>IF(B51="","",IF(G51="-","-",IF(F51&lt;&gt;TEXT(G51,"0000000000"),"CHECK - HS MISMATCH","-")))</f>
        <v/>
      </c>
    </row>
    <row r="52" ht="15" customHeight="1">
      <c r="A52" s="16">
        <f>IF(INPUT!A52="","",INPUT!A52)</f>
        <v/>
      </c>
      <c r="B52" s="16">
        <f>IF(INPUT!B52="","",INPUT!B52)</f>
        <v/>
      </c>
      <c r="C52" s="16">
        <f>IF(INPUT!D52="","",INPUT!D52)</f>
        <v/>
      </c>
      <c r="D52" s="16">
        <f>IF(INPUT!C52="","",INPUT!C52)</f>
        <v/>
      </c>
      <c r="E52" s="17">
        <f>IF(INPUT!E52="","",INPUT!E52)</f>
        <v/>
      </c>
      <c r="F52" s="17">
        <f>IF(E52="","",TEXT(E52,"0000000000"))</f>
        <v/>
      </c>
      <c r="G52" s="17">
        <f>IF(B52="","",IFERROR(INDEX(DB!$B:$B,MATCH(B52,DB!$A:$A,0)),"-"))</f>
        <v/>
      </c>
      <c r="H52" s="4">
        <f>IF(B52="","",IF(G52="-","NEW ITEM",IF(F52=TEXT(G52,"0000000000"),"MATCH","MISMATCH")))</f>
        <v/>
      </c>
      <c r="I52" s="4">
        <f>IF(B52="","",IF(G52="-","-",IF(F52&lt;&gt;TEXT(G52,"0000000000"),"CHECK - HS MISMATCH","-")))</f>
        <v/>
      </c>
    </row>
    <row r="53" ht="15" customHeight="1">
      <c r="A53" s="14">
        <f>IF(INPUT!A53="","",INPUT!A53)</f>
        <v/>
      </c>
      <c r="B53" s="14">
        <f>IF(INPUT!B53="","",INPUT!B53)</f>
        <v/>
      </c>
      <c r="C53" s="14">
        <f>IF(INPUT!D53="","",INPUT!D53)</f>
        <v/>
      </c>
      <c r="D53" s="14">
        <f>IF(INPUT!C53="","",INPUT!C53)</f>
        <v/>
      </c>
      <c r="E53" s="15">
        <f>IF(INPUT!E53="","",INPUT!E53)</f>
        <v/>
      </c>
      <c r="F53" s="15">
        <f>IF(E53="","",TEXT(E53,"0000000000"))</f>
        <v/>
      </c>
      <c r="G53" s="15">
        <f>IF(B53="","",IFERROR(INDEX(DB!$B:$B,MATCH(B53,DB!$A:$A,0)),"-"))</f>
        <v/>
      </c>
      <c r="H53" s="6">
        <f>IF(B53="","",IF(G53="-","NEW ITEM",IF(F53=TEXT(G53,"0000000000"),"MATCH","MISMATCH")))</f>
        <v/>
      </c>
      <c r="I53" s="6">
        <f>IF(B53="","",IF(G53="-","-",IF(F53&lt;&gt;TEXT(G53,"0000000000"),"CHECK - HS MISMATCH","-")))</f>
        <v/>
      </c>
    </row>
    <row r="54" ht="15" customHeight="1">
      <c r="A54" s="16">
        <f>IF(INPUT!A54="","",INPUT!A54)</f>
        <v/>
      </c>
      <c r="B54" s="16">
        <f>IF(INPUT!B54="","",INPUT!B54)</f>
        <v/>
      </c>
      <c r="C54" s="16">
        <f>IF(INPUT!D54="","",INPUT!D54)</f>
        <v/>
      </c>
      <c r="D54" s="16">
        <f>IF(INPUT!C54="","",INPUT!C54)</f>
        <v/>
      </c>
      <c r="E54" s="17">
        <f>IF(INPUT!E54="","",INPUT!E54)</f>
        <v/>
      </c>
      <c r="F54" s="17">
        <f>IF(E54="","",TEXT(E54,"0000000000"))</f>
        <v/>
      </c>
      <c r="G54" s="17">
        <f>IF(B54="","",IFERROR(INDEX(DB!$B:$B,MATCH(B54,DB!$A:$A,0)),"-"))</f>
        <v/>
      </c>
      <c r="H54" s="4">
        <f>IF(B54="","",IF(G54="-","NEW ITEM",IF(F54=TEXT(G54,"0000000000"),"MATCH","MISMATCH")))</f>
        <v/>
      </c>
      <c r="I54" s="4">
        <f>IF(B54="","",IF(G54="-","-",IF(F54&lt;&gt;TEXT(G54,"0000000000"),"CHECK - HS MISMATCH","-")))</f>
        <v/>
      </c>
    </row>
    <row r="55" ht="15" customHeight="1">
      <c r="A55" s="14">
        <f>IF(INPUT!A55="","",INPUT!A55)</f>
        <v/>
      </c>
      <c r="B55" s="14">
        <f>IF(INPUT!B55="","",INPUT!B55)</f>
        <v/>
      </c>
      <c r="C55" s="14">
        <f>IF(INPUT!D55="","",INPUT!D55)</f>
        <v/>
      </c>
      <c r="D55" s="14">
        <f>IF(INPUT!C55="","",INPUT!C55)</f>
        <v/>
      </c>
      <c r="E55" s="15">
        <f>IF(INPUT!E55="","",INPUT!E55)</f>
        <v/>
      </c>
      <c r="F55" s="15">
        <f>IF(E55="","",TEXT(E55,"0000000000"))</f>
        <v/>
      </c>
      <c r="G55" s="15">
        <f>IF(B55="","",IFERROR(INDEX(DB!$B:$B,MATCH(B55,DB!$A:$A,0)),"-"))</f>
        <v/>
      </c>
      <c r="H55" s="6">
        <f>IF(B55="","",IF(G55="-","NEW ITEM",IF(F55=TEXT(G55,"0000000000"),"MATCH","MISMATCH")))</f>
        <v/>
      </c>
      <c r="I55" s="6">
        <f>IF(B55="","",IF(G55="-","-",IF(F55&lt;&gt;TEXT(G55,"0000000000"),"CHECK - HS MISMATCH","-")))</f>
        <v/>
      </c>
    </row>
    <row r="56" ht="15" customHeight="1">
      <c r="A56" s="16">
        <f>IF(INPUT!A56="","",INPUT!A56)</f>
        <v/>
      </c>
      <c r="B56" s="16">
        <f>IF(INPUT!B56="","",INPUT!B56)</f>
        <v/>
      </c>
      <c r="C56" s="16">
        <f>IF(INPUT!D56="","",INPUT!D56)</f>
        <v/>
      </c>
      <c r="D56" s="16">
        <f>IF(INPUT!C56="","",INPUT!C56)</f>
        <v/>
      </c>
      <c r="E56" s="17">
        <f>IF(INPUT!E56="","",INPUT!E56)</f>
        <v/>
      </c>
      <c r="F56" s="17">
        <f>IF(E56="","",TEXT(E56,"0000000000"))</f>
        <v/>
      </c>
      <c r="G56" s="17">
        <f>IF(B56="","",IFERROR(INDEX(DB!$B:$B,MATCH(B56,DB!$A:$A,0)),"-"))</f>
        <v/>
      </c>
      <c r="H56" s="4">
        <f>IF(B56="","",IF(G56="-","NEW ITEM",IF(F56=TEXT(G56,"0000000000"),"MATCH","MISMATCH")))</f>
        <v/>
      </c>
      <c r="I56" s="4">
        <f>IF(B56="","",IF(G56="-","-",IF(F56&lt;&gt;TEXT(G56,"0000000000"),"CHECK - HS MISMATCH","-")))</f>
        <v/>
      </c>
    </row>
    <row r="57" ht="15" customHeight="1">
      <c r="A57" s="14">
        <f>IF(INPUT!A57="","",INPUT!A57)</f>
        <v/>
      </c>
      <c r="B57" s="14">
        <f>IF(INPUT!B57="","",INPUT!B57)</f>
        <v/>
      </c>
      <c r="C57" s="14">
        <f>IF(INPUT!D57="","",INPUT!D57)</f>
        <v/>
      </c>
      <c r="D57" s="14">
        <f>IF(INPUT!C57="","",INPUT!C57)</f>
        <v/>
      </c>
      <c r="E57" s="15">
        <f>IF(INPUT!E57="","",INPUT!E57)</f>
        <v/>
      </c>
      <c r="F57" s="15">
        <f>IF(E57="","",TEXT(E57,"0000000000"))</f>
        <v/>
      </c>
      <c r="G57" s="15">
        <f>IF(B57="","",IFERROR(INDEX(DB!$B:$B,MATCH(B57,DB!$A:$A,0)),"-"))</f>
        <v/>
      </c>
      <c r="H57" s="6">
        <f>IF(B57="","",IF(G57="-","NEW ITEM",IF(F57=TEXT(G57,"0000000000"),"MATCH","MISMATCH")))</f>
        <v/>
      </c>
      <c r="I57" s="6">
        <f>IF(B57="","",IF(G57="-","-",IF(F57&lt;&gt;TEXT(G57,"0000000000"),"CHECK - HS MISMATCH","-")))</f>
        <v/>
      </c>
    </row>
    <row r="58" ht="15" customHeight="1">
      <c r="A58" s="16">
        <f>IF(INPUT!A58="","",INPUT!A58)</f>
        <v/>
      </c>
      <c r="B58" s="16">
        <f>IF(INPUT!B58="","",INPUT!B58)</f>
        <v/>
      </c>
      <c r="C58" s="16">
        <f>IF(INPUT!D58="","",INPUT!D58)</f>
        <v/>
      </c>
      <c r="D58" s="16">
        <f>IF(INPUT!C58="","",INPUT!C58)</f>
        <v/>
      </c>
      <c r="E58" s="17">
        <f>IF(INPUT!E58="","",INPUT!E58)</f>
        <v/>
      </c>
      <c r="F58" s="17">
        <f>IF(E58="","",TEXT(E58,"0000000000"))</f>
        <v/>
      </c>
      <c r="G58" s="17">
        <f>IF(B58="","",IFERROR(INDEX(DB!$B:$B,MATCH(B58,DB!$A:$A,0)),"-"))</f>
        <v/>
      </c>
      <c r="H58" s="4">
        <f>IF(B58="","",IF(G58="-","NEW ITEM",IF(F58=TEXT(G58,"0000000000"),"MATCH","MISMATCH")))</f>
        <v/>
      </c>
      <c r="I58" s="4">
        <f>IF(B58="","",IF(G58="-","-",IF(F58&lt;&gt;TEXT(G58,"0000000000"),"CHECK - HS MISMATCH","-")))</f>
        <v/>
      </c>
    </row>
    <row r="59" ht="15" customHeight="1">
      <c r="A59" s="14">
        <f>IF(INPUT!A59="","",INPUT!A59)</f>
        <v/>
      </c>
      <c r="B59" s="14">
        <f>IF(INPUT!B59="","",INPUT!B59)</f>
        <v/>
      </c>
      <c r="C59" s="14">
        <f>IF(INPUT!D59="","",INPUT!D59)</f>
        <v/>
      </c>
      <c r="D59" s="14">
        <f>IF(INPUT!C59="","",INPUT!C59)</f>
        <v/>
      </c>
      <c r="E59" s="15">
        <f>IF(INPUT!E59="","",INPUT!E59)</f>
        <v/>
      </c>
      <c r="F59" s="15">
        <f>IF(E59="","",TEXT(E59,"0000000000"))</f>
        <v/>
      </c>
      <c r="G59" s="15">
        <f>IF(B59="","",IFERROR(INDEX(DB!$B:$B,MATCH(B59,DB!$A:$A,0)),"-"))</f>
        <v/>
      </c>
      <c r="H59" s="6">
        <f>IF(B59="","",IF(G59="-","NEW ITEM",IF(F59=TEXT(G59,"0000000000"),"MATCH","MISMATCH")))</f>
        <v/>
      </c>
      <c r="I59" s="6">
        <f>IF(B59="","",IF(G59="-","-",IF(F59&lt;&gt;TEXT(G59,"0000000000"),"CHECK - HS MISMATCH","-")))</f>
        <v/>
      </c>
    </row>
    <row r="60" ht="15" customHeight="1">
      <c r="A60" s="16">
        <f>IF(INPUT!A60="","",INPUT!A60)</f>
        <v/>
      </c>
      <c r="B60" s="16">
        <f>IF(INPUT!B60="","",INPUT!B60)</f>
        <v/>
      </c>
      <c r="C60" s="16">
        <f>IF(INPUT!D60="","",INPUT!D60)</f>
        <v/>
      </c>
      <c r="D60" s="16">
        <f>IF(INPUT!C60="","",INPUT!C60)</f>
        <v/>
      </c>
      <c r="E60" s="17">
        <f>IF(INPUT!E60="","",INPUT!E60)</f>
        <v/>
      </c>
      <c r="F60" s="17">
        <f>IF(E60="","",TEXT(E60,"0000000000"))</f>
        <v/>
      </c>
      <c r="G60" s="17">
        <f>IF(B60="","",IFERROR(INDEX(DB!$B:$B,MATCH(B60,DB!$A:$A,0)),"-"))</f>
        <v/>
      </c>
      <c r="H60" s="4">
        <f>IF(B60="","",IF(G60="-","NEW ITEM",IF(F60=TEXT(G60,"0000000000"),"MATCH","MISMATCH")))</f>
        <v/>
      </c>
      <c r="I60" s="4">
        <f>IF(B60="","",IF(G60="-","-",IF(F60&lt;&gt;TEXT(G60,"0000000000"),"CHECK - HS MISMATCH","-")))</f>
        <v/>
      </c>
    </row>
    <row r="61" ht="15" customHeight="1">
      <c r="A61" s="14">
        <f>IF(INPUT!A61="","",INPUT!A61)</f>
        <v/>
      </c>
      <c r="B61" s="14">
        <f>IF(INPUT!B61="","",INPUT!B61)</f>
        <v/>
      </c>
      <c r="C61" s="14">
        <f>IF(INPUT!D61="","",INPUT!D61)</f>
        <v/>
      </c>
      <c r="D61" s="14">
        <f>IF(INPUT!C61="","",INPUT!C61)</f>
        <v/>
      </c>
      <c r="E61" s="15">
        <f>IF(INPUT!E61="","",INPUT!E61)</f>
        <v/>
      </c>
      <c r="F61" s="15">
        <f>IF(E61="","",TEXT(E61,"0000000000"))</f>
        <v/>
      </c>
      <c r="G61" s="15">
        <f>IF(B61="","",IFERROR(INDEX(DB!$B:$B,MATCH(B61,DB!$A:$A,0)),"-"))</f>
        <v/>
      </c>
      <c r="H61" s="6">
        <f>IF(B61="","",IF(G61="-","NEW ITEM",IF(F61=TEXT(G61,"0000000000"),"MATCH","MISMATCH")))</f>
        <v/>
      </c>
      <c r="I61" s="6">
        <f>IF(B61="","",IF(G61="-","-",IF(F61&lt;&gt;TEXT(G61,"0000000000"),"CHECK - HS MISMATCH","-")))</f>
        <v/>
      </c>
    </row>
    <row r="62" ht="15" customHeight="1">
      <c r="A62" s="16">
        <f>IF(INPUT!A62="","",INPUT!A62)</f>
        <v/>
      </c>
      <c r="B62" s="16">
        <f>IF(INPUT!B62="","",INPUT!B62)</f>
        <v/>
      </c>
      <c r="C62" s="16">
        <f>IF(INPUT!D62="","",INPUT!D62)</f>
        <v/>
      </c>
      <c r="D62" s="16">
        <f>IF(INPUT!C62="","",INPUT!C62)</f>
        <v/>
      </c>
      <c r="E62" s="17">
        <f>IF(INPUT!E62="","",INPUT!E62)</f>
        <v/>
      </c>
      <c r="F62" s="17">
        <f>IF(E62="","",TEXT(E62,"0000000000"))</f>
        <v/>
      </c>
      <c r="G62" s="17">
        <f>IF(B62="","",IFERROR(INDEX(DB!$B:$B,MATCH(B62,DB!$A:$A,0)),"-"))</f>
        <v/>
      </c>
      <c r="H62" s="4">
        <f>IF(B62="","",IF(G62="-","NEW ITEM",IF(F62=TEXT(G62,"0000000000"),"MATCH","MISMATCH")))</f>
        <v/>
      </c>
      <c r="I62" s="4">
        <f>IF(B62="","",IF(G62="-","-",IF(F62&lt;&gt;TEXT(G62,"0000000000"),"CHECK - HS MISMATCH","-")))</f>
        <v/>
      </c>
    </row>
    <row r="63" ht="15" customHeight="1">
      <c r="A63" s="14">
        <f>IF(INPUT!A63="","",INPUT!A63)</f>
        <v/>
      </c>
      <c r="B63" s="14">
        <f>IF(INPUT!B63="","",INPUT!B63)</f>
        <v/>
      </c>
      <c r="C63" s="14">
        <f>IF(INPUT!D63="","",INPUT!D63)</f>
        <v/>
      </c>
      <c r="D63" s="14">
        <f>IF(INPUT!C63="","",INPUT!C63)</f>
        <v/>
      </c>
      <c r="E63" s="15">
        <f>IF(INPUT!E63="","",INPUT!E63)</f>
        <v/>
      </c>
      <c r="F63" s="15">
        <f>IF(E63="","",TEXT(E63,"0000000000"))</f>
        <v/>
      </c>
      <c r="G63" s="15">
        <f>IF(B63="","",IFERROR(INDEX(DB!$B:$B,MATCH(B63,DB!$A:$A,0)),"-"))</f>
        <v/>
      </c>
      <c r="H63" s="6">
        <f>IF(B63="","",IF(G63="-","NEW ITEM",IF(F63=TEXT(G63,"0000000000"),"MATCH","MISMATCH")))</f>
        <v/>
      </c>
      <c r="I63" s="6">
        <f>IF(B63="","",IF(G63="-","-",IF(F63&lt;&gt;TEXT(G63,"0000000000"),"CHECK - HS MISMATCH","-")))</f>
        <v/>
      </c>
    </row>
    <row r="64" ht="15" customHeight="1">
      <c r="A64" s="16">
        <f>IF(INPUT!A64="","",INPUT!A64)</f>
        <v/>
      </c>
      <c r="B64" s="16">
        <f>IF(INPUT!B64="","",INPUT!B64)</f>
        <v/>
      </c>
      <c r="C64" s="16">
        <f>IF(INPUT!D64="","",INPUT!D64)</f>
        <v/>
      </c>
      <c r="D64" s="16">
        <f>IF(INPUT!C64="","",INPUT!C64)</f>
        <v/>
      </c>
      <c r="E64" s="17">
        <f>IF(INPUT!E64="","",INPUT!E64)</f>
        <v/>
      </c>
      <c r="F64" s="17">
        <f>IF(E64="","",TEXT(E64,"0000000000"))</f>
        <v/>
      </c>
      <c r="G64" s="17">
        <f>IF(B64="","",IFERROR(INDEX(DB!$B:$B,MATCH(B64,DB!$A:$A,0)),"-"))</f>
        <v/>
      </c>
      <c r="H64" s="4">
        <f>IF(B64="","",IF(G64="-","NEW ITEM",IF(F64=TEXT(G64,"0000000000"),"MATCH","MISMATCH")))</f>
        <v/>
      </c>
      <c r="I64" s="4">
        <f>IF(B64="","",IF(G64="-","-",IF(F64&lt;&gt;TEXT(G64,"0000000000"),"CHECK - HS MISMATCH","-")))</f>
        <v/>
      </c>
    </row>
    <row r="65" ht="15" customHeight="1">
      <c r="A65" s="14">
        <f>IF(INPUT!A65="","",INPUT!A65)</f>
        <v/>
      </c>
      <c r="B65" s="14">
        <f>IF(INPUT!B65="","",INPUT!B65)</f>
        <v/>
      </c>
      <c r="C65" s="14">
        <f>IF(INPUT!D65="","",INPUT!D65)</f>
        <v/>
      </c>
      <c r="D65" s="14">
        <f>IF(INPUT!C65="","",INPUT!C65)</f>
        <v/>
      </c>
      <c r="E65" s="15">
        <f>IF(INPUT!E65="","",INPUT!E65)</f>
        <v/>
      </c>
      <c r="F65" s="15">
        <f>IF(E65="","",TEXT(E65,"0000000000"))</f>
        <v/>
      </c>
      <c r="G65" s="15">
        <f>IF(B65="","",IFERROR(INDEX(DB!$B:$B,MATCH(B65,DB!$A:$A,0)),"-"))</f>
        <v/>
      </c>
      <c r="H65" s="6">
        <f>IF(B65="","",IF(G65="-","NEW ITEM",IF(F65=TEXT(G65,"0000000000"),"MATCH","MISMATCH")))</f>
        <v/>
      </c>
      <c r="I65" s="6">
        <f>IF(B65="","",IF(G65="-","-",IF(F65&lt;&gt;TEXT(G65,"0000000000"),"CHECK - HS MISMATCH","-")))</f>
        <v/>
      </c>
    </row>
    <row r="66" ht="15" customHeight="1">
      <c r="A66" s="16">
        <f>IF(INPUT!A66="","",INPUT!A66)</f>
        <v/>
      </c>
      <c r="B66" s="16">
        <f>IF(INPUT!B66="","",INPUT!B66)</f>
        <v/>
      </c>
      <c r="C66" s="16">
        <f>IF(INPUT!D66="","",INPUT!D66)</f>
        <v/>
      </c>
      <c r="D66" s="16">
        <f>IF(INPUT!C66="","",INPUT!C66)</f>
        <v/>
      </c>
      <c r="E66" s="17">
        <f>IF(INPUT!E66="","",INPUT!E66)</f>
        <v/>
      </c>
      <c r="F66" s="17">
        <f>IF(E66="","",TEXT(E66,"0000000000"))</f>
        <v/>
      </c>
      <c r="G66" s="17">
        <f>IF(B66="","",IFERROR(INDEX(DB!$B:$B,MATCH(B66,DB!$A:$A,0)),"-"))</f>
        <v/>
      </c>
      <c r="H66" s="4">
        <f>IF(B66="","",IF(G66="-","NEW ITEM",IF(F66=TEXT(G66,"0000000000"),"MATCH","MISMATCH")))</f>
        <v/>
      </c>
      <c r="I66" s="4">
        <f>IF(B66="","",IF(G66="-","-",IF(F66&lt;&gt;TEXT(G66,"0000000000"),"CHECK - HS MISMATCH","-")))</f>
        <v/>
      </c>
    </row>
    <row r="67" ht="15" customHeight="1">
      <c r="A67" s="14">
        <f>IF(INPUT!A67="","",INPUT!A67)</f>
        <v/>
      </c>
      <c r="B67" s="14">
        <f>IF(INPUT!B67="","",INPUT!B67)</f>
        <v/>
      </c>
      <c r="C67" s="14">
        <f>IF(INPUT!D67="","",INPUT!D67)</f>
        <v/>
      </c>
      <c r="D67" s="14">
        <f>IF(INPUT!C67="","",INPUT!C67)</f>
        <v/>
      </c>
      <c r="E67" s="15">
        <f>IF(INPUT!E67="","",INPUT!E67)</f>
        <v/>
      </c>
      <c r="F67" s="15">
        <f>IF(E67="","",TEXT(E67,"0000000000"))</f>
        <v/>
      </c>
      <c r="G67" s="15">
        <f>IF(B67="","",IFERROR(INDEX(DB!$B:$B,MATCH(B67,DB!$A:$A,0)),"-"))</f>
        <v/>
      </c>
      <c r="H67" s="6">
        <f>IF(B67="","",IF(G67="-","NEW ITEM",IF(F67=TEXT(G67,"0000000000"),"MATCH","MISMATCH")))</f>
        <v/>
      </c>
      <c r="I67" s="6">
        <f>IF(B67="","",IF(G67="-","-",IF(F67&lt;&gt;TEXT(G67,"0000000000"),"CHECK - HS MISMATCH","-")))</f>
        <v/>
      </c>
    </row>
    <row r="68" ht="15" customHeight="1">
      <c r="A68" s="16">
        <f>IF(INPUT!A68="","",INPUT!A68)</f>
        <v/>
      </c>
      <c r="B68" s="16">
        <f>IF(INPUT!B68="","",INPUT!B68)</f>
        <v/>
      </c>
      <c r="C68" s="16">
        <f>IF(INPUT!D68="","",INPUT!D68)</f>
        <v/>
      </c>
      <c r="D68" s="16">
        <f>IF(INPUT!C68="","",INPUT!C68)</f>
        <v/>
      </c>
      <c r="E68" s="17">
        <f>IF(INPUT!E68="","",INPUT!E68)</f>
        <v/>
      </c>
      <c r="F68" s="17">
        <f>IF(E68="","",TEXT(E68,"0000000000"))</f>
        <v/>
      </c>
      <c r="G68" s="17">
        <f>IF(B68="","",IFERROR(INDEX(DB!$B:$B,MATCH(B68,DB!$A:$A,0)),"-"))</f>
        <v/>
      </c>
      <c r="H68" s="4">
        <f>IF(B68="","",IF(G68="-","NEW ITEM",IF(F68=TEXT(G68,"0000000000"),"MATCH","MISMATCH")))</f>
        <v/>
      </c>
      <c r="I68" s="4">
        <f>IF(B68="","",IF(G68="-","-",IF(F68&lt;&gt;TEXT(G68,"0000000000"),"CHECK - HS MISMATCH","-")))</f>
        <v/>
      </c>
    </row>
    <row r="69" ht="15" customHeight="1">
      <c r="A69" s="14">
        <f>IF(INPUT!A69="","",INPUT!A69)</f>
        <v/>
      </c>
      <c r="B69" s="14">
        <f>IF(INPUT!B69="","",INPUT!B69)</f>
        <v/>
      </c>
      <c r="C69" s="14">
        <f>IF(INPUT!D69="","",INPUT!D69)</f>
        <v/>
      </c>
      <c r="D69" s="14">
        <f>IF(INPUT!C69="","",INPUT!C69)</f>
        <v/>
      </c>
      <c r="E69" s="15">
        <f>IF(INPUT!E69="","",INPUT!E69)</f>
        <v/>
      </c>
      <c r="F69" s="15">
        <f>IF(E69="","",TEXT(E69,"0000000000"))</f>
        <v/>
      </c>
      <c r="G69" s="15">
        <f>IF(B69="","",IFERROR(INDEX(DB!$B:$B,MATCH(B69,DB!$A:$A,0)),"-"))</f>
        <v/>
      </c>
      <c r="H69" s="6">
        <f>IF(B69="","",IF(G69="-","NEW ITEM",IF(F69=TEXT(G69,"0000000000"),"MATCH","MISMATCH")))</f>
        <v/>
      </c>
      <c r="I69" s="6">
        <f>IF(B69="","",IF(G69="-","-",IF(F69&lt;&gt;TEXT(G69,"0000000000"),"CHECK - HS MISMATCH","-")))</f>
        <v/>
      </c>
    </row>
    <row r="70" ht="15" customHeight="1">
      <c r="A70" s="16">
        <f>IF(INPUT!A70="","",INPUT!A70)</f>
        <v/>
      </c>
      <c r="B70" s="16">
        <f>IF(INPUT!B70="","",INPUT!B70)</f>
        <v/>
      </c>
      <c r="C70" s="16">
        <f>IF(INPUT!D70="","",INPUT!D70)</f>
        <v/>
      </c>
      <c r="D70" s="16">
        <f>IF(INPUT!C70="","",INPUT!C70)</f>
        <v/>
      </c>
      <c r="E70" s="17">
        <f>IF(INPUT!E70="","",INPUT!E70)</f>
        <v/>
      </c>
      <c r="F70" s="17">
        <f>IF(E70="","",TEXT(E70,"0000000000"))</f>
        <v/>
      </c>
      <c r="G70" s="17">
        <f>IF(B70="","",IFERROR(INDEX(DB!$B:$B,MATCH(B70,DB!$A:$A,0)),"-"))</f>
        <v/>
      </c>
      <c r="H70" s="4">
        <f>IF(B70="","",IF(G70="-","NEW ITEM",IF(F70=TEXT(G70,"0000000000"),"MATCH","MISMATCH")))</f>
        <v/>
      </c>
      <c r="I70" s="4">
        <f>IF(B70="","",IF(G70="-","-",IF(F70&lt;&gt;TEXT(G70,"0000000000"),"CHECK - HS MISMATCH","-")))</f>
        <v/>
      </c>
    </row>
    <row r="71" ht="15" customHeight="1">
      <c r="A71" s="14">
        <f>IF(INPUT!A71="","",INPUT!A71)</f>
        <v/>
      </c>
      <c r="B71" s="14">
        <f>IF(INPUT!B71="","",INPUT!B71)</f>
        <v/>
      </c>
      <c r="C71" s="14">
        <f>IF(INPUT!D71="","",INPUT!D71)</f>
        <v/>
      </c>
      <c r="D71" s="14">
        <f>IF(INPUT!C71="","",INPUT!C71)</f>
        <v/>
      </c>
      <c r="E71" s="15">
        <f>IF(INPUT!E71="","",INPUT!E71)</f>
        <v/>
      </c>
      <c r="F71" s="15">
        <f>IF(E71="","",TEXT(E71,"0000000000"))</f>
        <v/>
      </c>
      <c r="G71" s="15">
        <f>IF(B71="","",IFERROR(INDEX(DB!$B:$B,MATCH(B71,DB!$A:$A,0)),"-"))</f>
        <v/>
      </c>
      <c r="H71" s="6">
        <f>IF(B71="","",IF(G71="-","NEW ITEM",IF(F71=TEXT(G71,"0000000000"),"MATCH","MISMATCH")))</f>
        <v/>
      </c>
      <c r="I71" s="6">
        <f>IF(B71="","",IF(G71="-","-",IF(F71&lt;&gt;TEXT(G71,"0000000000"),"CHECK - HS MISMATCH","-")))</f>
        <v/>
      </c>
    </row>
    <row r="72" ht="15" customHeight="1">
      <c r="A72" s="16">
        <f>IF(INPUT!A72="","",INPUT!A72)</f>
        <v/>
      </c>
      <c r="B72" s="16">
        <f>IF(INPUT!B72="","",INPUT!B72)</f>
        <v/>
      </c>
      <c r="C72" s="16">
        <f>IF(INPUT!D72="","",INPUT!D72)</f>
        <v/>
      </c>
      <c r="D72" s="16">
        <f>IF(INPUT!C72="","",INPUT!C72)</f>
        <v/>
      </c>
      <c r="E72" s="17">
        <f>IF(INPUT!E72="","",INPUT!E72)</f>
        <v/>
      </c>
      <c r="F72" s="17">
        <f>IF(E72="","",TEXT(E72,"0000000000"))</f>
        <v/>
      </c>
      <c r="G72" s="17">
        <f>IF(B72="","",IFERROR(INDEX(DB!$B:$B,MATCH(B72,DB!$A:$A,0)),"-"))</f>
        <v/>
      </c>
      <c r="H72" s="4">
        <f>IF(B72="","",IF(G72="-","NEW ITEM",IF(F72=TEXT(G72,"0000000000"),"MATCH","MISMATCH")))</f>
        <v/>
      </c>
      <c r="I72" s="4">
        <f>IF(B72="","",IF(G72="-","-",IF(F72&lt;&gt;TEXT(G72,"0000000000"),"CHECK - HS MISMATCH","-")))</f>
        <v/>
      </c>
    </row>
    <row r="73" ht="15" customHeight="1">
      <c r="A73" s="14">
        <f>IF(INPUT!A73="","",INPUT!A73)</f>
        <v/>
      </c>
      <c r="B73" s="14">
        <f>IF(INPUT!B73="","",INPUT!B73)</f>
        <v/>
      </c>
      <c r="C73" s="14">
        <f>IF(INPUT!D73="","",INPUT!D73)</f>
        <v/>
      </c>
      <c r="D73" s="14">
        <f>IF(INPUT!C73="","",INPUT!C73)</f>
        <v/>
      </c>
      <c r="E73" s="15">
        <f>IF(INPUT!E73="","",INPUT!E73)</f>
        <v/>
      </c>
      <c r="F73" s="15">
        <f>IF(E73="","",TEXT(E73,"0000000000"))</f>
        <v/>
      </c>
      <c r="G73" s="15">
        <f>IF(B73="","",IFERROR(INDEX(DB!$B:$B,MATCH(B73,DB!$A:$A,0)),"-"))</f>
        <v/>
      </c>
      <c r="H73" s="6">
        <f>IF(B73="","",IF(G73="-","NEW ITEM",IF(F73=TEXT(G73,"0000000000"),"MATCH","MISMATCH")))</f>
        <v/>
      </c>
      <c r="I73" s="6">
        <f>IF(B73="","",IF(G73="-","-",IF(F73&lt;&gt;TEXT(G73,"0000000000"),"CHECK - HS MISMATCH","-")))</f>
        <v/>
      </c>
    </row>
    <row r="74" ht="15" customHeight="1">
      <c r="A74" s="16">
        <f>IF(INPUT!A74="","",INPUT!A74)</f>
        <v/>
      </c>
      <c r="B74" s="16">
        <f>IF(INPUT!B74="","",INPUT!B74)</f>
        <v/>
      </c>
      <c r="C74" s="16">
        <f>IF(INPUT!D74="","",INPUT!D74)</f>
        <v/>
      </c>
      <c r="D74" s="16">
        <f>IF(INPUT!C74="","",INPUT!C74)</f>
        <v/>
      </c>
      <c r="E74" s="17">
        <f>IF(INPUT!E74="","",INPUT!E74)</f>
        <v/>
      </c>
      <c r="F74" s="17">
        <f>IF(E74="","",TEXT(E74,"0000000000"))</f>
        <v/>
      </c>
      <c r="G74" s="17">
        <f>IF(B74="","",IFERROR(INDEX(DB!$B:$B,MATCH(B74,DB!$A:$A,0)),"-"))</f>
        <v/>
      </c>
      <c r="H74" s="4">
        <f>IF(B74="","",IF(G74="-","NEW ITEM",IF(F74=TEXT(G74,"0000000000"),"MATCH","MISMATCH")))</f>
        <v/>
      </c>
      <c r="I74" s="4">
        <f>IF(B74="","",IF(G74="-","-",IF(F74&lt;&gt;TEXT(G74,"0000000000"),"CHECK - HS MISMATCH","-")))</f>
        <v/>
      </c>
    </row>
    <row r="75" ht="15" customHeight="1">
      <c r="A75" s="14">
        <f>IF(INPUT!A75="","",INPUT!A75)</f>
        <v/>
      </c>
      <c r="B75" s="14">
        <f>IF(INPUT!B75="","",INPUT!B75)</f>
        <v/>
      </c>
      <c r="C75" s="14">
        <f>IF(INPUT!D75="","",INPUT!D75)</f>
        <v/>
      </c>
      <c r="D75" s="14">
        <f>IF(INPUT!C75="","",INPUT!C75)</f>
        <v/>
      </c>
      <c r="E75" s="15">
        <f>IF(INPUT!E75="","",INPUT!E75)</f>
        <v/>
      </c>
      <c r="F75" s="15">
        <f>IF(E75="","",TEXT(E75,"0000000000"))</f>
        <v/>
      </c>
      <c r="G75" s="15">
        <f>IF(B75="","",IFERROR(INDEX(DB!$B:$B,MATCH(B75,DB!$A:$A,0)),"-"))</f>
        <v/>
      </c>
      <c r="H75" s="6">
        <f>IF(B75="","",IF(G75="-","NEW ITEM",IF(F75=TEXT(G75,"0000000000"),"MATCH","MISMATCH")))</f>
        <v/>
      </c>
      <c r="I75" s="6">
        <f>IF(B75="","",IF(G75="-","-",IF(F75&lt;&gt;TEXT(G75,"0000000000"),"CHECK - HS MISMATCH","-")))</f>
        <v/>
      </c>
    </row>
    <row r="76" ht="15" customHeight="1">
      <c r="A76" s="16">
        <f>IF(INPUT!A76="","",INPUT!A76)</f>
        <v/>
      </c>
      <c r="B76" s="16">
        <f>IF(INPUT!B76="","",INPUT!B76)</f>
        <v/>
      </c>
      <c r="C76" s="16">
        <f>IF(INPUT!D76="","",INPUT!D76)</f>
        <v/>
      </c>
      <c r="D76" s="16">
        <f>IF(INPUT!C76="","",INPUT!C76)</f>
        <v/>
      </c>
      <c r="E76" s="17">
        <f>IF(INPUT!E76="","",INPUT!E76)</f>
        <v/>
      </c>
      <c r="F76" s="17">
        <f>IF(E76="","",TEXT(E76,"0000000000"))</f>
        <v/>
      </c>
      <c r="G76" s="17">
        <f>IF(B76="","",IFERROR(INDEX(DB!$B:$B,MATCH(B76,DB!$A:$A,0)),"-"))</f>
        <v/>
      </c>
      <c r="H76" s="4">
        <f>IF(B76="","",IF(G76="-","NEW ITEM",IF(F76=TEXT(G76,"0000000000"),"MATCH","MISMATCH")))</f>
        <v/>
      </c>
      <c r="I76" s="4">
        <f>IF(B76="","",IF(G76="-","-",IF(F76&lt;&gt;TEXT(G76,"0000000000"),"CHECK - HS MISMATCH","-")))</f>
        <v/>
      </c>
    </row>
    <row r="77" ht="15" customHeight="1">
      <c r="A77" s="14">
        <f>IF(INPUT!A77="","",INPUT!A77)</f>
        <v/>
      </c>
      <c r="B77" s="14">
        <f>IF(INPUT!B77="","",INPUT!B77)</f>
        <v/>
      </c>
      <c r="C77" s="14">
        <f>IF(INPUT!D77="","",INPUT!D77)</f>
        <v/>
      </c>
      <c r="D77" s="14">
        <f>IF(INPUT!C77="","",INPUT!C77)</f>
        <v/>
      </c>
      <c r="E77" s="15">
        <f>IF(INPUT!E77="","",INPUT!E77)</f>
        <v/>
      </c>
      <c r="F77" s="15">
        <f>IF(E77="","",TEXT(E77,"0000000000"))</f>
        <v/>
      </c>
      <c r="G77" s="15">
        <f>IF(B77="","",IFERROR(INDEX(DB!$B:$B,MATCH(B77,DB!$A:$A,0)),"-"))</f>
        <v/>
      </c>
      <c r="H77" s="6">
        <f>IF(B77="","",IF(G77="-","NEW ITEM",IF(F77=TEXT(G77,"0000000000"),"MATCH","MISMATCH")))</f>
        <v/>
      </c>
      <c r="I77" s="6">
        <f>IF(B77="","",IF(G77="-","-",IF(F77&lt;&gt;TEXT(G77,"0000000000"),"CHECK - HS MISMATCH","-")))</f>
        <v/>
      </c>
    </row>
    <row r="78" ht="15" customHeight="1">
      <c r="A78" s="16">
        <f>IF(INPUT!A78="","",INPUT!A78)</f>
        <v/>
      </c>
      <c r="B78" s="16">
        <f>IF(INPUT!B78="","",INPUT!B78)</f>
        <v/>
      </c>
      <c r="C78" s="16">
        <f>IF(INPUT!D78="","",INPUT!D78)</f>
        <v/>
      </c>
      <c r="D78" s="16">
        <f>IF(INPUT!C78="","",INPUT!C78)</f>
        <v/>
      </c>
      <c r="E78" s="17">
        <f>IF(INPUT!E78="","",INPUT!E78)</f>
        <v/>
      </c>
      <c r="F78" s="17">
        <f>IF(E78="","",TEXT(E78,"0000000000"))</f>
        <v/>
      </c>
      <c r="G78" s="17">
        <f>IF(B78="","",IFERROR(INDEX(DB!$B:$B,MATCH(B78,DB!$A:$A,0)),"-"))</f>
        <v/>
      </c>
      <c r="H78" s="4">
        <f>IF(B78="","",IF(G78="-","NEW ITEM",IF(F78=TEXT(G78,"0000000000"),"MATCH","MISMATCH")))</f>
        <v/>
      </c>
      <c r="I78" s="4">
        <f>IF(B78="","",IF(G78="-","-",IF(F78&lt;&gt;TEXT(G78,"0000000000"),"CHECK - HS MISMATCH","-")))</f>
        <v/>
      </c>
    </row>
    <row r="79" ht="15" customHeight="1">
      <c r="A79" s="14">
        <f>IF(INPUT!A79="","",INPUT!A79)</f>
        <v/>
      </c>
      <c r="B79" s="14">
        <f>IF(INPUT!B79="","",INPUT!B79)</f>
        <v/>
      </c>
      <c r="C79" s="14">
        <f>IF(INPUT!D79="","",INPUT!D79)</f>
        <v/>
      </c>
      <c r="D79" s="14">
        <f>IF(INPUT!C79="","",INPUT!C79)</f>
        <v/>
      </c>
      <c r="E79" s="15">
        <f>IF(INPUT!E79="","",INPUT!E79)</f>
        <v/>
      </c>
      <c r="F79" s="15">
        <f>IF(E79="","",TEXT(E79,"0000000000"))</f>
        <v/>
      </c>
      <c r="G79" s="15">
        <f>IF(B79="","",IFERROR(INDEX(DB!$B:$B,MATCH(B79,DB!$A:$A,0)),"-"))</f>
        <v/>
      </c>
      <c r="H79" s="6">
        <f>IF(B79="","",IF(G79="-","NEW ITEM",IF(F79=TEXT(G79,"0000000000"),"MATCH","MISMATCH")))</f>
        <v/>
      </c>
      <c r="I79" s="6">
        <f>IF(B79="","",IF(G79="-","-",IF(F79&lt;&gt;TEXT(G79,"0000000000"),"CHECK - HS MISMATCH","-")))</f>
        <v/>
      </c>
    </row>
    <row r="80" ht="15" customHeight="1">
      <c r="A80" s="16">
        <f>IF(INPUT!A80="","",INPUT!A80)</f>
        <v/>
      </c>
      <c r="B80" s="16">
        <f>IF(INPUT!B80="","",INPUT!B80)</f>
        <v/>
      </c>
      <c r="C80" s="16">
        <f>IF(INPUT!D80="","",INPUT!D80)</f>
        <v/>
      </c>
      <c r="D80" s="16">
        <f>IF(INPUT!C80="","",INPUT!C80)</f>
        <v/>
      </c>
      <c r="E80" s="17">
        <f>IF(INPUT!E80="","",INPUT!E80)</f>
        <v/>
      </c>
      <c r="F80" s="17">
        <f>IF(E80="","",TEXT(E80,"0000000000"))</f>
        <v/>
      </c>
      <c r="G80" s="17">
        <f>IF(B80="","",IFERROR(INDEX(DB!$B:$B,MATCH(B80,DB!$A:$A,0)),"-"))</f>
        <v/>
      </c>
      <c r="H80" s="4">
        <f>IF(B80="","",IF(G80="-","NEW ITEM",IF(F80=TEXT(G80,"0000000000"),"MATCH","MISMATCH")))</f>
        <v/>
      </c>
      <c r="I80" s="4">
        <f>IF(B80="","",IF(G80="-","-",IF(F80&lt;&gt;TEXT(G80,"0000000000"),"CHECK - HS MISMATCH","-")))</f>
        <v/>
      </c>
    </row>
    <row r="81" ht="15" customHeight="1">
      <c r="A81" s="14">
        <f>IF(INPUT!A81="","",INPUT!A81)</f>
        <v/>
      </c>
      <c r="B81" s="14">
        <f>IF(INPUT!B81="","",INPUT!B81)</f>
        <v/>
      </c>
      <c r="C81" s="14">
        <f>IF(INPUT!D81="","",INPUT!D81)</f>
        <v/>
      </c>
      <c r="D81" s="14">
        <f>IF(INPUT!C81="","",INPUT!C81)</f>
        <v/>
      </c>
      <c r="E81" s="15">
        <f>IF(INPUT!E81="","",INPUT!E81)</f>
        <v/>
      </c>
      <c r="F81" s="15">
        <f>IF(E81="","",TEXT(E81,"0000000000"))</f>
        <v/>
      </c>
      <c r="G81" s="15">
        <f>IF(B81="","",IFERROR(INDEX(DB!$B:$B,MATCH(B81,DB!$A:$A,0)),"-"))</f>
        <v/>
      </c>
      <c r="H81" s="6">
        <f>IF(B81="","",IF(G81="-","NEW ITEM",IF(F81=TEXT(G81,"0000000000"),"MATCH","MISMATCH")))</f>
        <v/>
      </c>
      <c r="I81" s="6">
        <f>IF(B81="","",IF(G81="-","-",IF(F81&lt;&gt;TEXT(G81,"0000000000"),"CHECK - HS MISMATCH","-")))</f>
        <v/>
      </c>
    </row>
    <row r="82" ht="15" customHeight="1">
      <c r="A82" s="16">
        <f>IF(INPUT!A82="","",INPUT!A82)</f>
        <v/>
      </c>
      <c r="B82" s="16">
        <f>IF(INPUT!B82="","",INPUT!B82)</f>
        <v/>
      </c>
      <c r="C82" s="16">
        <f>IF(INPUT!D82="","",INPUT!D82)</f>
        <v/>
      </c>
      <c r="D82" s="16">
        <f>IF(INPUT!C82="","",INPUT!C82)</f>
        <v/>
      </c>
      <c r="E82" s="17">
        <f>IF(INPUT!E82="","",INPUT!E82)</f>
        <v/>
      </c>
      <c r="F82" s="17">
        <f>IF(E82="","",TEXT(E82,"0000000000"))</f>
        <v/>
      </c>
      <c r="G82" s="17">
        <f>IF(B82="","",IFERROR(INDEX(DB!$B:$B,MATCH(B82,DB!$A:$A,0)),"-"))</f>
        <v/>
      </c>
      <c r="H82" s="4">
        <f>IF(B82="","",IF(G82="-","NEW ITEM",IF(F82=TEXT(G82,"0000000000"),"MATCH","MISMATCH")))</f>
        <v/>
      </c>
      <c r="I82" s="4">
        <f>IF(B82="","",IF(G82="-","-",IF(F82&lt;&gt;TEXT(G82,"0000000000"),"CHECK - HS MISMATCH","-")))</f>
        <v/>
      </c>
    </row>
    <row r="83" ht="15" customHeight="1">
      <c r="A83" s="14">
        <f>IF(INPUT!A83="","",INPUT!A83)</f>
        <v/>
      </c>
      <c r="B83" s="14">
        <f>IF(INPUT!B83="","",INPUT!B83)</f>
        <v/>
      </c>
      <c r="C83" s="14">
        <f>IF(INPUT!D83="","",INPUT!D83)</f>
        <v/>
      </c>
      <c r="D83" s="14">
        <f>IF(INPUT!C83="","",INPUT!C83)</f>
        <v/>
      </c>
      <c r="E83" s="15">
        <f>IF(INPUT!E83="","",INPUT!E83)</f>
        <v/>
      </c>
      <c r="F83" s="15">
        <f>IF(E83="","",TEXT(E83,"0000000000"))</f>
        <v/>
      </c>
      <c r="G83" s="15">
        <f>IF(B83="","",IFERROR(INDEX(DB!$B:$B,MATCH(B83,DB!$A:$A,0)),"-"))</f>
        <v/>
      </c>
      <c r="H83" s="6">
        <f>IF(B83="","",IF(G83="-","NEW ITEM",IF(F83=TEXT(G83,"0000000000"),"MATCH","MISMATCH")))</f>
        <v/>
      </c>
      <c r="I83" s="6">
        <f>IF(B83="","",IF(G83="-","-",IF(F83&lt;&gt;TEXT(G83,"0000000000"),"CHECK - HS MISMATCH","-")))</f>
        <v/>
      </c>
    </row>
    <row r="84" ht="15" customHeight="1">
      <c r="A84" s="16">
        <f>IF(INPUT!A84="","",INPUT!A84)</f>
        <v/>
      </c>
      <c r="B84" s="16">
        <f>IF(INPUT!B84="","",INPUT!B84)</f>
        <v/>
      </c>
      <c r="C84" s="16">
        <f>IF(INPUT!D84="","",INPUT!D84)</f>
        <v/>
      </c>
      <c r="D84" s="16">
        <f>IF(INPUT!C84="","",INPUT!C84)</f>
        <v/>
      </c>
      <c r="E84" s="17">
        <f>IF(INPUT!E84="","",INPUT!E84)</f>
        <v/>
      </c>
      <c r="F84" s="17">
        <f>IF(E84="","",TEXT(E84,"0000000000"))</f>
        <v/>
      </c>
      <c r="G84" s="17">
        <f>IF(B84="","",IFERROR(INDEX(DB!$B:$B,MATCH(B84,DB!$A:$A,0)),"-"))</f>
        <v/>
      </c>
      <c r="H84" s="4">
        <f>IF(B84="","",IF(G84="-","NEW ITEM",IF(F84=TEXT(G84,"0000000000"),"MATCH","MISMATCH")))</f>
        <v/>
      </c>
      <c r="I84" s="4">
        <f>IF(B84="","",IF(G84="-","-",IF(F84&lt;&gt;TEXT(G84,"0000000000"),"CHECK - HS MISMATCH","-")))</f>
        <v/>
      </c>
    </row>
    <row r="85" ht="15" customHeight="1">
      <c r="A85" s="14">
        <f>IF(INPUT!A85="","",INPUT!A85)</f>
        <v/>
      </c>
      <c r="B85" s="14">
        <f>IF(INPUT!B85="","",INPUT!B85)</f>
        <v/>
      </c>
      <c r="C85" s="14">
        <f>IF(INPUT!D85="","",INPUT!D85)</f>
        <v/>
      </c>
      <c r="D85" s="14">
        <f>IF(INPUT!C85="","",INPUT!C85)</f>
        <v/>
      </c>
      <c r="E85" s="15">
        <f>IF(INPUT!E85="","",INPUT!E85)</f>
        <v/>
      </c>
      <c r="F85" s="15">
        <f>IF(E85="","",TEXT(E85,"0000000000"))</f>
        <v/>
      </c>
      <c r="G85" s="15">
        <f>IF(B85="","",IFERROR(INDEX(DB!$B:$B,MATCH(B85,DB!$A:$A,0)),"-"))</f>
        <v/>
      </c>
      <c r="H85" s="6">
        <f>IF(B85="","",IF(G85="-","NEW ITEM",IF(F85=TEXT(G85,"0000000000"),"MATCH","MISMATCH")))</f>
        <v/>
      </c>
      <c r="I85" s="6">
        <f>IF(B85="","",IF(G85="-","-",IF(F85&lt;&gt;TEXT(G85,"0000000000"),"CHECK - HS MISMATCH","-")))</f>
        <v/>
      </c>
    </row>
    <row r="86" ht="15" customHeight="1">
      <c r="A86" s="16">
        <f>IF(INPUT!A86="","",INPUT!A86)</f>
        <v/>
      </c>
      <c r="B86" s="16">
        <f>IF(INPUT!B86="","",INPUT!B86)</f>
        <v/>
      </c>
      <c r="C86" s="16">
        <f>IF(INPUT!D86="","",INPUT!D86)</f>
        <v/>
      </c>
      <c r="D86" s="16">
        <f>IF(INPUT!C86="","",INPUT!C86)</f>
        <v/>
      </c>
      <c r="E86" s="17">
        <f>IF(INPUT!E86="","",INPUT!E86)</f>
        <v/>
      </c>
      <c r="F86" s="17">
        <f>IF(E86="","",TEXT(E86,"0000000000"))</f>
        <v/>
      </c>
      <c r="G86" s="17">
        <f>IF(B86="","",IFERROR(INDEX(DB!$B:$B,MATCH(B86,DB!$A:$A,0)),"-"))</f>
        <v/>
      </c>
      <c r="H86" s="4">
        <f>IF(B86="","",IF(G86="-","NEW ITEM",IF(F86=TEXT(G86,"0000000000"),"MATCH","MISMATCH")))</f>
        <v/>
      </c>
      <c r="I86" s="4">
        <f>IF(B86="","",IF(G86="-","-",IF(F86&lt;&gt;TEXT(G86,"0000000000"),"CHECK - HS MISMATCH","-")))</f>
        <v/>
      </c>
    </row>
    <row r="87" ht="15" customHeight="1">
      <c r="A87" s="14">
        <f>IF(INPUT!A87="","",INPUT!A87)</f>
        <v/>
      </c>
      <c r="B87" s="14">
        <f>IF(INPUT!B87="","",INPUT!B87)</f>
        <v/>
      </c>
      <c r="C87" s="14">
        <f>IF(INPUT!D87="","",INPUT!D87)</f>
        <v/>
      </c>
      <c r="D87" s="14">
        <f>IF(INPUT!C87="","",INPUT!C87)</f>
        <v/>
      </c>
      <c r="E87" s="15">
        <f>IF(INPUT!E87="","",INPUT!E87)</f>
        <v/>
      </c>
      <c r="F87" s="15">
        <f>IF(E87="","",TEXT(E87,"0000000000"))</f>
        <v/>
      </c>
      <c r="G87" s="15">
        <f>IF(B87="","",IFERROR(INDEX(DB!$B:$B,MATCH(B87,DB!$A:$A,0)),"-"))</f>
        <v/>
      </c>
      <c r="H87" s="6">
        <f>IF(B87="","",IF(G87="-","NEW ITEM",IF(F87=TEXT(G87,"0000000000"),"MATCH","MISMATCH")))</f>
        <v/>
      </c>
      <c r="I87" s="6">
        <f>IF(B87="","",IF(G87="-","-",IF(F87&lt;&gt;TEXT(G87,"0000000000"),"CHECK - HS MISMATCH","-")))</f>
        <v/>
      </c>
    </row>
    <row r="88" ht="15" customHeight="1">
      <c r="A88" s="16">
        <f>IF(INPUT!A88="","",INPUT!A88)</f>
        <v/>
      </c>
      <c r="B88" s="16">
        <f>IF(INPUT!B88="","",INPUT!B88)</f>
        <v/>
      </c>
      <c r="C88" s="16">
        <f>IF(INPUT!D88="","",INPUT!D88)</f>
        <v/>
      </c>
      <c r="D88" s="16">
        <f>IF(INPUT!C88="","",INPUT!C88)</f>
        <v/>
      </c>
      <c r="E88" s="17">
        <f>IF(INPUT!E88="","",INPUT!E88)</f>
        <v/>
      </c>
      <c r="F88" s="17">
        <f>IF(E88="","",TEXT(E88,"0000000000"))</f>
        <v/>
      </c>
      <c r="G88" s="17">
        <f>IF(B88="","",IFERROR(INDEX(DB!$B:$B,MATCH(B88,DB!$A:$A,0)),"-"))</f>
        <v/>
      </c>
      <c r="H88" s="4">
        <f>IF(B88="","",IF(G88="-","NEW ITEM",IF(F88=TEXT(G88,"0000000000"),"MATCH","MISMATCH")))</f>
        <v/>
      </c>
      <c r="I88" s="4">
        <f>IF(B88="","",IF(G88="-","-",IF(F88&lt;&gt;TEXT(G88,"0000000000"),"CHECK - HS MISMATCH","-")))</f>
        <v/>
      </c>
    </row>
    <row r="89" ht="15" customHeight="1">
      <c r="A89" s="14">
        <f>IF(INPUT!A89="","",INPUT!A89)</f>
        <v/>
      </c>
      <c r="B89" s="14">
        <f>IF(INPUT!B89="","",INPUT!B89)</f>
        <v/>
      </c>
      <c r="C89" s="14">
        <f>IF(INPUT!D89="","",INPUT!D89)</f>
        <v/>
      </c>
      <c r="D89" s="14">
        <f>IF(INPUT!C89="","",INPUT!C89)</f>
        <v/>
      </c>
      <c r="E89" s="15">
        <f>IF(INPUT!E89="","",INPUT!E89)</f>
        <v/>
      </c>
      <c r="F89" s="15">
        <f>IF(E89="","",TEXT(E89,"0000000000"))</f>
        <v/>
      </c>
      <c r="G89" s="15">
        <f>IF(B89="","",IFERROR(INDEX(DB!$B:$B,MATCH(B89,DB!$A:$A,0)),"-"))</f>
        <v/>
      </c>
      <c r="H89" s="6">
        <f>IF(B89="","",IF(G89="-","NEW ITEM",IF(F89=TEXT(G89,"0000000000"),"MATCH","MISMATCH")))</f>
        <v/>
      </c>
      <c r="I89" s="6">
        <f>IF(B89="","",IF(G89="-","-",IF(F89&lt;&gt;TEXT(G89,"0000000000"),"CHECK - HS MISMATCH","-")))</f>
        <v/>
      </c>
    </row>
    <row r="90" ht="15" customHeight="1">
      <c r="A90" s="16">
        <f>IF(INPUT!A90="","",INPUT!A90)</f>
        <v/>
      </c>
      <c r="B90" s="16">
        <f>IF(INPUT!B90="","",INPUT!B90)</f>
        <v/>
      </c>
      <c r="C90" s="16">
        <f>IF(INPUT!D90="","",INPUT!D90)</f>
        <v/>
      </c>
      <c r="D90" s="16">
        <f>IF(INPUT!C90="","",INPUT!C90)</f>
        <v/>
      </c>
      <c r="E90" s="17">
        <f>IF(INPUT!E90="","",INPUT!E90)</f>
        <v/>
      </c>
      <c r="F90" s="17">
        <f>IF(E90="","",TEXT(E90,"0000000000"))</f>
        <v/>
      </c>
      <c r="G90" s="17">
        <f>IF(B90="","",IFERROR(INDEX(DB!$B:$B,MATCH(B90,DB!$A:$A,0)),"-"))</f>
        <v/>
      </c>
      <c r="H90" s="4">
        <f>IF(B90="","",IF(G90="-","NEW ITEM",IF(F90=TEXT(G90,"0000000000"),"MATCH","MISMATCH")))</f>
        <v/>
      </c>
      <c r="I90" s="4">
        <f>IF(B90="","",IF(G90="-","-",IF(F90&lt;&gt;TEXT(G90,"0000000000"),"CHECK - HS MISMATCH","-")))</f>
        <v/>
      </c>
    </row>
    <row r="91" ht="15" customHeight="1">
      <c r="A91" s="14">
        <f>IF(INPUT!A91="","",INPUT!A91)</f>
        <v/>
      </c>
      <c r="B91" s="14">
        <f>IF(INPUT!B91="","",INPUT!B91)</f>
        <v/>
      </c>
      <c r="C91" s="14">
        <f>IF(INPUT!D91="","",INPUT!D91)</f>
        <v/>
      </c>
      <c r="D91" s="14">
        <f>IF(INPUT!C91="","",INPUT!C91)</f>
        <v/>
      </c>
      <c r="E91" s="15">
        <f>IF(INPUT!E91="","",INPUT!E91)</f>
        <v/>
      </c>
      <c r="F91" s="15">
        <f>IF(E91="","",TEXT(E91,"0000000000"))</f>
        <v/>
      </c>
      <c r="G91" s="15">
        <f>IF(B91="","",IFERROR(INDEX(DB!$B:$B,MATCH(B91,DB!$A:$A,0)),"-"))</f>
        <v/>
      </c>
      <c r="H91" s="6">
        <f>IF(B91="","",IF(G91="-","NEW ITEM",IF(F91=TEXT(G91,"0000000000"),"MATCH","MISMATCH")))</f>
        <v/>
      </c>
      <c r="I91" s="6">
        <f>IF(B91="","",IF(G91="-","-",IF(F91&lt;&gt;TEXT(G91,"0000000000"),"CHECK - HS MISMATCH","-")))</f>
        <v/>
      </c>
    </row>
    <row r="92" ht="15" customHeight="1">
      <c r="A92" s="16">
        <f>IF(INPUT!A92="","",INPUT!A92)</f>
        <v/>
      </c>
      <c r="B92" s="16">
        <f>IF(INPUT!B92="","",INPUT!B92)</f>
        <v/>
      </c>
      <c r="C92" s="16">
        <f>IF(INPUT!D92="","",INPUT!D92)</f>
        <v/>
      </c>
      <c r="D92" s="16">
        <f>IF(INPUT!C92="","",INPUT!C92)</f>
        <v/>
      </c>
      <c r="E92" s="17">
        <f>IF(INPUT!E92="","",INPUT!E92)</f>
        <v/>
      </c>
      <c r="F92" s="17">
        <f>IF(E92="","",TEXT(E92,"0000000000"))</f>
        <v/>
      </c>
      <c r="G92" s="17">
        <f>IF(B92="","",IFERROR(INDEX(DB!$B:$B,MATCH(B92,DB!$A:$A,0)),"-"))</f>
        <v/>
      </c>
      <c r="H92" s="4">
        <f>IF(B92="","",IF(G92="-","NEW ITEM",IF(F92=TEXT(G92,"0000000000"),"MATCH","MISMATCH")))</f>
        <v/>
      </c>
      <c r="I92" s="4">
        <f>IF(B92="","",IF(G92="-","-",IF(F92&lt;&gt;TEXT(G92,"0000000000"),"CHECK - HS MISMATCH","-")))</f>
        <v/>
      </c>
    </row>
    <row r="93" ht="15" customHeight="1">
      <c r="A93" s="14">
        <f>IF(INPUT!A93="","",INPUT!A93)</f>
        <v/>
      </c>
      <c r="B93" s="14">
        <f>IF(INPUT!B93="","",INPUT!B93)</f>
        <v/>
      </c>
      <c r="C93" s="14">
        <f>IF(INPUT!D93="","",INPUT!D93)</f>
        <v/>
      </c>
      <c r="D93" s="14">
        <f>IF(INPUT!C93="","",INPUT!C93)</f>
        <v/>
      </c>
      <c r="E93" s="15">
        <f>IF(INPUT!E93="","",INPUT!E93)</f>
        <v/>
      </c>
      <c r="F93" s="15">
        <f>IF(E93="","",TEXT(E93,"0000000000"))</f>
        <v/>
      </c>
      <c r="G93" s="15">
        <f>IF(B93="","",IFERROR(INDEX(DB!$B:$B,MATCH(B93,DB!$A:$A,0)),"-"))</f>
        <v/>
      </c>
      <c r="H93" s="6">
        <f>IF(B93="","",IF(G93="-","NEW ITEM",IF(F93=TEXT(G93,"0000000000"),"MATCH","MISMATCH")))</f>
        <v/>
      </c>
      <c r="I93" s="6">
        <f>IF(B93="","",IF(G93="-","-",IF(F93&lt;&gt;TEXT(G93,"0000000000"),"CHECK - HS MISMATCH","-")))</f>
        <v/>
      </c>
    </row>
    <row r="94" ht="15" customHeight="1">
      <c r="A94" s="16">
        <f>IF(INPUT!A94="","",INPUT!A94)</f>
        <v/>
      </c>
      <c r="B94" s="16">
        <f>IF(INPUT!B94="","",INPUT!B94)</f>
        <v/>
      </c>
      <c r="C94" s="16">
        <f>IF(INPUT!D94="","",INPUT!D94)</f>
        <v/>
      </c>
      <c r="D94" s="16">
        <f>IF(INPUT!C94="","",INPUT!C94)</f>
        <v/>
      </c>
      <c r="E94" s="17">
        <f>IF(INPUT!E94="","",INPUT!E94)</f>
        <v/>
      </c>
      <c r="F94" s="17">
        <f>IF(E94="","",TEXT(E94,"0000000000"))</f>
        <v/>
      </c>
      <c r="G94" s="17">
        <f>IF(B94="","",IFERROR(INDEX(DB!$B:$B,MATCH(B94,DB!$A:$A,0)),"-"))</f>
        <v/>
      </c>
      <c r="H94" s="4">
        <f>IF(B94="","",IF(G94="-","NEW ITEM",IF(F94=TEXT(G94,"0000000000"),"MATCH","MISMATCH")))</f>
        <v/>
      </c>
      <c r="I94" s="4">
        <f>IF(B94="","",IF(G94="-","-",IF(F94&lt;&gt;TEXT(G94,"0000000000"),"CHECK - HS MISMATCH","-")))</f>
        <v/>
      </c>
    </row>
    <row r="95" ht="15" customHeight="1">
      <c r="A95" s="14">
        <f>IF(INPUT!A95="","",INPUT!A95)</f>
        <v/>
      </c>
      <c r="B95" s="14">
        <f>IF(INPUT!B95="","",INPUT!B95)</f>
        <v/>
      </c>
      <c r="C95" s="14">
        <f>IF(INPUT!D95="","",INPUT!D95)</f>
        <v/>
      </c>
      <c r="D95" s="14">
        <f>IF(INPUT!C95="","",INPUT!C95)</f>
        <v/>
      </c>
      <c r="E95" s="15">
        <f>IF(INPUT!E95="","",INPUT!E95)</f>
        <v/>
      </c>
      <c r="F95" s="15">
        <f>IF(E95="","",TEXT(E95,"0000000000"))</f>
        <v/>
      </c>
      <c r="G95" s="15">
        <f>IF(B95="","",IFERROR(INDEX(DB!$B:$B,MATCH(B95,DB!$A:$A,0)),"-"))</f>
        <v/>
      </c>
      <c r="H95" s="6">
        <f>IF(B95="","",IF(G95="-","NEW ITEM",IF(F95=TEXT(G95,"0000000000"),"MATCH","MISMATCH")))</f>
        <v/>
      </c>
      <c r="I95" s="6">
        <f>IF(B95="","",IF(G95="-","-",IF(F95&lt;&gt;TEXT(G95,"0000000000"),"CHECK - HS MISMATCH","-")))</f>
        <v/>
      </c>
    </row>
    <row r="96" ht="15" customHeight="1">
      <c r="A96" s="16">
        <f>IF(INPUT!A96="","",INPUT!A96)</f>
        <v/>
      </c>
      <c r="B96" s="16">
        <f>IF(INPUT!B96="","",INPUT!B96)</f>
        <v/>
      </c>
      <c r="C96" s="16">
        <f>IF(INPUT!D96="","",INPUT!D96)</f>
        <v/>
      </c>
      <c r="D96" s="16">
        <f>IF(INPUT!C96="","",INPUT!C96)</f>
        <v/>
      </c>
      <c r="E96" s="17">
        <f>IF(INPUT!E96="","",INPUT!E96)</f>
        <v/>
      </c>
      <c r="F96" s="17">
        <f>IF(E96="","",TEXT(E96,"0000000000"))</f>
        <v/>
      </c>
      <c r="G96" s="17">
        <f>IF(B96="","",IFERROR(INDEX(DB!$B:$B,MATCH(B96,DB!$A:$A,0)),"-"))</f>
        <v/>
      </c>
      <c r="H96" s="4">
        <f>IF(B96="","",IF(G96="-","NEW ITEM",IF(F96=TEXT(G96,"0000000000"),"MATCH","MISMATCH")))</f>
        <v/>
      </c>
      <c r="I96" s="4">
        <f>IF(B96="","",IF(G96="-","-",IF(F96&lt;&gt;TEXT(G96,"0000000000"),"CHECK - HS MISMATCH","-")))</f>
        <v/>
      </c>
    </row>
    <row r="97" ht="15" customHeight="1">
      <c r="A97" s="14">
        <f>IF(INPUT!A97="","",INPUT!A97)</f>
        <v/>
      </c>
      <c r="B97" s="14">
        <f>IF(INPUT!B97="","",INPUT!B97)</f>
        <v/>
      </c>
      <c r="C97" s="14">
        <f>IF(INPUT!D97="","",INPUT!D97)</f>
        <v/>
      </c>
      <c r="D97" s="14">
        <f>IF(INPUT!C97="","",INPUT!C97)</f>
        <v/>
      </c>
      <c r="E97" s="15">
        <f>IF(INPUT!E97="","",INPUT!E97)</f>
        <v/>
      </c>
      <c r="F97" s="15">
        <f>IF(E97="","",TEXT(E97,"0000000000"))</f>
        <v/>
      </c>
      <c r="G97" s="15">
        <f>IF(B97="","",IFERROR(INDEX(DB!$B:$B,MATCH(B97,DB!$A:$A,0)),"-"))</f>
        <v/>
      </c>
      <c r="H97" s="6">
        <f>IF(B97="","",IF(G97="-","NEW ITEM",IF(F97=TEXT(G97,"0000000000"),"MATCH","MISMATCH")))</f>
        <v/>
      </c>
      <c r="I97" s="6">
        <f>IF(B97="","",IF(G97="-","-",IF(F97&lt;&gt;TEXT(G97,"0000000000"),"CHECK - HS MISMATCH","-")))</f>
        <v/>
      </c>
    </row>
    <row r="98" ht="15" customHeight="1">
      <c r="A98" s="16">
        <f>IF(INPUT!A98="","",INPUT!A98)</f>
        <v/>
      </c>
      <c r="B98" s="16">
        <f>IF(INPUT!B98="","",INPUT!B98)</f>
        <v/>
      </c>
      <c r="C98" s="16">
        <f>IF(INPUT!D98="","",INPUT!D98)</f>
        <v/>
      </c>
      <c r="D98" s="16">
        <f>IF(INPUT!C98="","",INPUT!C98)</f>
        <v/>
      </c>
      <c r="E98" s="17">
        <f>IF(INPUT!E98="","",INPUT!E98)</f>
        <v/>
      </c>
      <c r="F98" s="17">
        <f>IF(E98="","",TEXT(E98,"0000000000"))</f>
        <v/>
      </c>
      <c r="G98" s="17">
        <f>IF(B98="","",IFERROR(INDEX(DB!$B:$B,MATCH(B98,DB!$A:$A,0)),"-"))</f>
        <v/>
      </c>
      <c r="H98" s="4">
        <f>IF(B98="","",IF(G98="-","NEW ITEM",IF(F98=TEXT(G98,"0000000000"),"MATCH","MISMATCH")))</f>
        <v/>
      </c>
      <c r="I98" s="4">
        <f>IF(B98="","",IF(G98="-","-",IF(F98&lt;&gt;TEXT(G98,"0000000000"),"CHECK - HS MISMATCH","-")))</f>
        <v/>
      </c>
    </row>
    <row r="99" ht="15" customHeight="1">
      <c r="A99" s="14">
        <f>IF(INPUT!A99="","",INPUT!A99)</f>
        <v/>
      </c>
      <c r="B99" s="14">
        <f>IF(INPUT!B99="","",INPUT!B99)</f>
        <v/>
      </c>
      <c r="C99" s="14">
        <f>IF(INPUT!D99="","",INPUT!D99)</f>
        <v/>
      </c>
      <c r="D99" s="14">
        <f>IF(INPUT!C99="","",INPUT!C99)</f>
        <v/>
      </c>
      <c r="E99" s="15">
        <f>IF(INPUT!E99="","",INPUT!E99)</f>
        <v/>
      </c>
      <c r="F99" s="15">
        <f>IF(E99="","",TEXT(E99,"0000000000"))</f>
        <v/>
      </c>
      <c r="G99" s="15">
        <f>IF(B99="","",IFERROR(INDEX(DB!$B:$B,MATCH(B99,DB!$A:$A,0)),"-"))</f>
        <v/>
      </c>
      <c r="H99" s="6">
        <f>IF(B99="","",IF(G99="-","NEW ITEM",IF(F99=TEXT(G99,"0000000000"),"MATCH","MISMATCH")))</f>
        <v/>
      </c>
      <c r="I99" s="6">
        <f>IF(B99="","",IF(G99="-","-",IF(F99&lt;&gt;TEXT(G99,"0000000000"),"CHECK - HS MISMATCH","-")))</f>
        <v/>
      </c>
    </row>
    <row r="100" ht="15" customHeight="1">
      <c r="A100" s="16">
        <f>IF(INPUT!A100="","",INPUT!A100)</f>
        <v/>
      </c>
      <c r="B100" s="16">
        <f>IF(INPUT!B100="","",INPUT!B100)</f>
        <v/>
      </c>
      <c r="C100" s="16">
        <f>IF(INPUT!D100="","",INPUT!D100)</f>
        <v/>
      </c>
      <c r="D100" s="16">
        <f>IF(INPUT!C100="","",INPUT!C100)</f>
        <v/>
      </c>
      <c r="E100" s="17">
        <f>IF(INPUT!E100="","",INPUT!E100)</f>
        <v/>
      </c>
      <c r="F100" s="17">
        <f>IF(E100="","",TEXT(E100,"0000000000"))</f>
        <v/>
      </c>
      <c r="G100" s="17">
        <f>IF(B100="","",IFERROR(INDEX(DB!$B:$B,MATCH(B100,DB!$A:$A,0)),"-"))</f>
        <v/>
      </c>
      <c r="H100" s="4">
        <f>IF(B100="","",IF(G100="-","NEW ITEM",IF(F100=TEXT(G100,"0000000000"),"MATCH","MISMATCH")))</f>
        <v/>
      </c>
      <c r="I100" s="4">
        <f>IF(B100="","",IF(G100="-","-",IF(F100&lt;&gt;TEXT(G100,"0000000000"),"CHECK - HS MISMATCH","-")))</f>
        <v/>
      </c>
    </row>
    <row r="101" ht="15" customHeight="1">
      <c r="A101" s="14">
        <f>IF(INPUT!A101="","",INPUT!A101)</f>
        <v/>
      </c>
      <c r="B101" s="14">
        <f>IF(INPUT!B101="","",INPUT!B101)</f>
        <v/>
      </c>
      <c r="C101" s="14">
        <f>IF(INPUT!D101="","",INPUT!D101)</f>
        <v/>
      </c>
      <c r="D101" s="14">
        <f>IF(INPUT!C101="","",INPUT!C101)</f>
        <v/>
      </c>
      <c r="E101" s="15">
        <f>IF(INPUT!E101="","",INPUT!E101)</f>
        <v/>
      </c>
      <c r="F101" s="15">
        <f>IF(E101="","",TEXT(E101,"0000000000"))</f>
        <v/>
      </c>
      <c r="G101" s="15">
        <f>IF(B101="","",IFERROR(INDEX(DB!$B:$B,MATCH(B101,DB!$A:$A,0)),"-"))</f>
        <v/>
      </c>
      <c r="H101" s="6">
        <f>IF(B101="","",IF(G101="-","NEW ITEM",IF(F101=TEXT(G101,"0000000000"),"MATCH","MISMATCH")))</f>
        <v/>
      </c>
      <c r="I101" s="6">
        <f>IF(B101="","",IF(G101="-","-",IF(F101&lt;&gt;TEXT(G101,"0000000000"),"CHECK - HS MISMATCH","-")))</f>
        <v/>
      </c>
    </row>
    <row r="102" ht="15" customHeight="1">
      <c r="A102" s="16">
        <f>IF(INPUT!A102="","",INPUT!A102)</f>
        <v/>
      </c>
      <c r="B102" s="16">
        <f>IF(INPUT!B102="","",INPUT!B102)</f>
        <v/>
      </c>
      <c r="C102" s="16">
        <f>IF(INPUT!D102="","",INPUT!D102)</f>
        <v/>
      </c>
      <c r="D102" s="16">
        <f>IF(INPUT!C102="","",INPUT!C102)</f>
        <v/>
      </c>
      <c r="E102" s="17">
        <f>IF(INPUT!E102="","",INPUT!E102)</f>
        <v/>
      </c>
      <c r="F102" s="17">
        <f>IF(E102="","",TEXT(E102,"0000000000"))</f>
        <v/>
      </c>
      <c r="G102" s="17">
        <f>IF(B102="","",IFERROR(INDEX(DB!$B:$B,MATCH(B102,DB!$A:$A,0)),"-"))</f>
        <v/>
      </c>
      <c r="H102" s="4">
        <f>IF(B102="","",IF(G102="-","NEW ITEM",IF(F102=TEXT(G102,"0000000000"),"MATCH","MISMATCH")))</f>
        <v/>
      </c>
      <c r="I102" s="4">
        <f>IF(B102="","",IF(G102="-","-",IF(F102&lt;&gt;TEXT(G102,"0000000000"),"CHECK - HS MISMATCH","-")))</f>
        <v/>
      </c>
    </row>
    <row r="103" ht="15" customHeight="1">
      <c r="A103" s="14">
        <f>IF(INPUT!A103="","",INPUT!A103)</f>
        <v/>
      </c>
      <c r="B103" s="14">
        <f>IF(INPUT!B103="","",INPUT!B103)</f>
        <v/>
      </c>
      <c r="C103" s="14">
        <f>IF(INPUT!D103="","",INPUT!D103)</f>
        <v/>
      </c>
      <c r="D103" s="14">
        <f>IF(INPUT!C103="","",INPUT!C103)</f>
        <v/>
      </c>
      <c r="E103" s="15">
        <f>IF(INPUT!E103="","",INPUT!E103)</f>
        <v/>
      </c>
      <c r="F103" s="15">
        <f>IF(E103="","",TEXT(E103,"0000000000"))</f>
        <v/>
      </c>
      <c r="G103" s="15">
        <f>IF(B103="","",IFERROR(INDEX(DB!$B:$B,MATCH(B103,DB!$A:$A,0)),"-"))</f>
        <v/>
      </c>
      <c r="H103" s="6">
        <f>IF(B103="","",IF(G103="-","NEW ITEM",IF(F103=TEXT(G103,"0000000000"),"MATCH","MISMATCH")))</f>
        <v/>
      </c>
      <c r="I103" s="6">
        <f>IF(B103="","",IF(G103="-","-",IF(F103&lt;&gt;TEXT(G103,"0000000000"),"CHECK - HS MISMATCH","-")))</f>
        <v/>
      </c>
    </row>
    <row r="104" ht="15" customHeight="1">
      <c r="A104" s="16">
        <f>IF(INPUT!A104="","",INPUT!A104)</f>
        <v/>
      </c>
      <c r="B104" s="16">
        <f>IF(INPUT!B104="","",INPUT!B104)</f>
        <v/>
      </c>
      <c r="C104" s="16">
        <f>IF(INPUT!D104="","",INPUT!D104)</f>
        <v/>
      </c>
      <c r="D104" s="16">
        <f>IF(INPUT!C104="","",INPUT!C104)</f>
        <v/>
      </c>
      <c r="E104" s="17">
        <f>IF(INPUT!E104="","",INPUT!E104)</f>
        <v/>
      </c>
      <c r="F104" s="17">
        <f>IF(E104="","",TEXT(E104,"0000000000"))</f>
        <v/>
      </c>
      <c r="G104" s="17">
        <f>IF(B104="","",IFERROR(INDEX(DB!$B:$B,MATCH(B104,DB!$A:$A,0)),"-"))</f>
        <v/>
      </c>
      <c r="H104" s="4">
        <f>IF(B104="","",IF(G104="-","NEW ITEM",IF(F104=TEXT(G104,"0000000000"),"MATCH","MISMATCH")))</f>
        <v/>
      </c>
      <c r="I104" s="4">
        <f>IF(B104="","",IF(G104="-","-",IF(F104&lt;&gt;TEXT(G104,"0000000000"),"CHECK - HS MISMATCH","-")))</f>
        <v/>
      </c>
    </row>
    <row r="105" ht="15" customHeight="1">
      <c r="A105" s="14">
        <f>IF(INPUT!A105="","",INPUT!A105)</f>
        <v/>
      </c>
      <c r="B105" s="14">
        <f>IF(INPUT!B105="","",INPUT!B105)</f>
        <v/>
      </c>
      <c r="C105" s="14">
        <f>IF(INPUT!D105="","",INPUT!D105)</f>
        <v/>
      </c>
      <c r="D105" s="14">
        <f>IF(INPUT!C105="","",INPUT!C105)</f>
        <v/>
      </c>
      <c r="E105" s="15">
        <f>IF(INPUT!E105="","",INPUT!E105)</f>
        <v/>
      </c>
      <c r="F105" s="15">
        <f>IF(E105="","",TEXT(E105,"0000000000"))</f>
        <v/>
      </c>
      <c r="G105" s="15">
        <f>IF(B105="","",IFERROR(INDEX(DB!$B:$B,MATCH(B105,DB!$A:$A,0)),"-"))</f>
        <v/>
      </c>
      <c r="H105" s="6">
        <f>IF(B105="","",IF(G105="-","NEW ITEM",IF(F105=TEXT(G105,"0000000000"),"MATCH","MISMATCH")))</f>
        <v/>
      </c>
      <c r="I105" s="6">
        <f>IF(B105="","",IF(G105="-","-",IF(F105&lt;&gt;TEXT(G105,"0000000000"),"CHECK - HS MISMATCH","-")))</f>
        <v/>
      </c>
    </row>
    <row r="106" ht="15" customHeight="1">
      <c r="A106" s="16">
        <f>IF(INPUT!A106="","",INPUT!A106)</f>
        <v/>
      </c>
      <c r="B106" s="16">
        <f>IF(INPUT!B106="","",INPUT!B106)</f>
        <v/>
      </c>
      <c r="C106" s="16">
        <f>IF(INPUT!D106="","",INPUT!D106)</f>
        <v/>
      </c>
      <c r="D106" s="16">
        <f>IF(INPUT!C106="","",INPUT!C106)</f>
        <v/>
      </c>
      <c r="E106" s="17">
        <f>IF(INPUT!E106="","",INPUT!E106)</f>
        <v/>
      </c>
      <c r="F106" s="17">
        <f>IF(E106="","",TEXT(E106,"0000000000"))</f>
        <v/>
      </c>
      <c r="G106" s="17">
        <f>IF(B106="","",IFERROR(INDEX(DB!$B:$B,MATCH(B106,DB!$A:$A,0)),"-"))</f>
        <v/>
      </c>
      <c r="H106" s="4">
        <f>IF(B106="","",IF(G106="-","NEW ITEM",IF(F106=TEXT(G106,"0000000000"),"MATCH","MISMATCH")))</f>
        <v/>
      </c>
      <c r="I106" s="4">
        <f>IF(B106="","",IF(G106="-","-",IF(F106&lt;&gt;TEXT(G106,"0000000000"),"CHECK - HS MISMATCH","-")))</f>
        <v/>
      </c>
    </row>
    <row r="107" ht="15" customHeight="1">
      <c r="A107" s="14">
        <f>IF(INPUT!A107="","",INPUT!A107)</f>
        <v/>
      </c>
      <c r="B107" s="14">
        <f>IF(INPUT!B107="","",INPUT!B107)</f>
        <v/>
      </c>
      <c r="C107" s="14">
        <f>IF(INPUT!D107="","",INPUT!D107)</f>
        <v/>
      </c>
      <c r="D107" s="14">
        <f>IF(INPUT!C107="","",INPUT!C107)</f>
        <v/>
      </c>
      <c r="E107" s="15">
        <f>IF(INPUT!E107="","",INPUT!E107)</f>
        <v/>
      </c>
      <c r="F107" s="15">
        <f>IF(E107="","",TEXT(E107,"0000000000"))</f>
        <v/>
      </c>
      <c r="G107" s="15">
        <f>IF(B107="","",IFERROR(INDEX(DB!$B:$B,MATCH(B107,DB!$A:$A,0)),"-"))</f>
        <v/>
      </c>
      <c r="H107" s="6">
        <f>IF(B107="","",IF(G107="-","NEW ITEM",IF(F107=TEXT(G107,"0000000000"),"MATCH","MISMATCH")))</f>
        <v/>
      </c>
      <c r="I107" s="6">
        <f>IF(B107="","",IF(G107="-","-",IF(F107&lt;&gt;TEXT(G107,"0000000000"),"CHECK - HS MISMATCH","-")))</f>
        <v/>
      </c>
    </row>
    <row r="108" ht="15" customHeight="1">
      <c r="A108" s="16">
        <f>IF(INPUT!A108="","",INPUT!A108)</f>
        <v/>
      </c>
      <c r="B108" s="16">
        <f>IF(INPUT!B108="","",INPUT!B108)</f>
        <v/>
      </c>
      <c r="C108" s="16">
        <f>IF(INPUT!D108="","",INPUT!D108)</f>
        <v/>
      </c>
      <c r="D108" s="16">
        <f>IF(INPUT!C108="","",INPUT!C108)</f>
        <v/>
      </c>
      <c r="E108" s="17">
        <f>IF(INPUT!E108="","",INPUT!E108)</f>
        <v/>
      </c>
      <c r="F108" s="17">
        <f>IF(E108="","",TEXT(E108,"0000000000"))</f>
        <v/>
      </c>
      <c r="G108" s="17">
        <f>IF(B108="","",IFERROR(INDEX(DB!$B:$B,MATCH(B108,DB!$A:$A,0)),"-"))</f>
        <v/>
      </c>
      <c r="H108" s="4">
        <f>IF(B108="","",IF(G108="-","NEW ITEM",IF(F108=TEXT(G108,"0000000000"),"MATCH","MISMATCH")))</f>
        <v/>
      </c>
      <c r="I108" s="4">
        <f>IF(B108="","",IF(G108="-","-",IF(F108&lt;&gt;TEXT(G108,"0000000000"),"CHECK - HS MISMATCH","-")))</f>
        <v/>
      </c>
    </row>
    <row r="109" ht="15" customHeight="1">
      <c r="A109" s="14">
        <f>IF(INPUT!A109="","",INPUT!A109)</f>
        <v/>
      </c>
      <c r="B109" s="14">
        <f>IF(INPUT!B109="","",INPUT!B109)</f>
        <v/>
      </c>
      <c r="C109" s="14">
        <f>IF(INPUT!D109="","",INPUT!D109)</f>
        <v/>
      </c>
      <c r="D109" s="14">
        <f>IF(INPUT!C109="","",INPUT!C109)</f>
        <v/>
      </c>
      <c r="E109" s="15">
        <f>IF(INPUT!E109="","",INPUT!E109)</f>
        <v/>
      </c>
      <c r="F109" s="15">
        <f>IF(E109="","",TEXT(E109,"0000000000"))</f>
        <v/>
      </c>
      <c r="G109" s="15">
        <f>IF(B109="","",IFERROR(INDEX(DB!$B:$B,MATCH(B109,DB!$A:$A,0)),"-"))</f>
        <v/>
      </c>
      <c r="H109" s="6">
        <f>IF(B109="","",IF(G109="-","NEW ITEM",IF(F109=TEXT(G109,"0000000000"),"MATCH","MISMATCH")))</f>
        <v/>
      </c>
      <c r="I109" s="6">
        <f>IF(B109="","",IF(G109="-","-",IF(F109&lt;&gt;TEXT(G109,"0000000000"),"CHECK - HS MISMATCH","-")))</f>
        <v/>
      </c>
    </row>
    <row r="110" ht="15" customHeight="1">
      <c r="A110" s="16">
        <f>IF(INPUT!A110="","",INPUT!A110)</f>
        <v/>
      </c>
      <c r="B110" s="16">
        <f>IF(INPUT!B110="","",INPUT!B110)</f>
        <v/>
      </c>
      <c r="C110" s="16">
        <f>IF(INPUT!D110="","",INPUT!D110)</f>
        <v/>
      </c>
      <c r="D110" s="16">
        <f>IF(INPUT!C110="","",INPUT!C110)</f>
        <v/>
      </c>
      <c r="E110" s="17">
        <f>IF(INPUT!E110="","",INPUT!E110)</f>
        <v/>
      </c>
      <c r="F110" s="17">
        <f>IF(E110="","",TEXT(E110,"0000000000"))</f>
        <v/>
      </c>
      <c r="G110" s="17">
        <f>IF(B110="","",IFERROR(INDEX(DB!$B:$B,MATCH(B110,DB!$A:$A,0)),"-"))</f>
        <v/>
      </c>
      <c r="H110" s="4">
        <f>IF(B110="","",IF(G110="-","NEW ITEM",IF(F110=TEXT(G110,"0000000000"),"MATCH","MISMATCH")))</f>
        <v/>
      </c>
      <c r="I110" s="4">
        <f>IF(B110="","",IF(G110="-","-",IF(F110&lt;&gt;TEXT(G110,"0000000000"),"CHECK - HS MISMATCH","-")))</f>
        <v/>
      </c>
    </row>
    <row r="111" ht="15" customHeight="1">
      <c r="A111" s="14">
        <f>IF(INPUT!A111="","",INPUT!A111)</f>
        <v/>
      </c>
      <c r="B111" s="14">
        <f>IF(INPUT!B111="","",INPUT!B111)</f>
        <v/>
      </c>
      <c r="C111" s="14">
        <f>IF(INPUT!D111="","",INPUT!D111)</f>
        <v/>
      </c>
      <c r="D111" s="14">
        <f>IF(INPUT!C111="","",INPUT!C111)</f>
        <v/>
      </c>
      <c r="E111" s="15">
        <f>IF(INPUT!E111="","",INPUT!E111)</f>
        <v/>
      </c>
      <c r="F111" s="15">
        <f>IF(E111="","",TEXT(E111,"0000000000"))</f>
        <v/>
      </c>
      <c r="G111" s="15">
        <f>IF(B111="","",IFERROR(INDEX(DB!$B:$B,MATCH(B111,DB!$A:$A,0)),"-"))</f>
        <v/>
      </c>
      <c r="H111" s="6">
        <f>IF(B111="","",IF(G111="-","NEW ITEM",IF(F111=TEXT(G111,"0000000000"),"MATCH","MISMATCH")))</f>
        <v/>
      </c>
      <c r="I111" s="6">
        <f>IF(B111="","",IF(G111="-","-",IF(F111&lt;&gt;TEXT(G111,"0000000000"),"CHECK - HS MISMATCH","-")))</f>
        <v/>
      </c>
    </row>
    <row r="112" ht="15" customHeight="1">
      <c r="A112" s="16">
        <f>IF(INPUT!A112="","",INPUT!A112)</f>
        <v/>
      </c>
      <c r="B112" s="16">
        <f>IF(INPUT!B112="","",INPUT!B112)</f>
        <v/>
      </c>
      <c r="C112" s="16">
        <f>IF(INPUT!D112="","",INPUT!D112)</f>
        <v/>
      </c>
      <c r="D112" s="16">
        <f>IF(INPUT!C112="","",INPUT!C112)</f>
        <v/>
      </c>
      <c r="E112" s="17">
        <f>IF(INPUT!E112="","",INPUT!E112)</f>
        <v/>
      </c>
      <c r="F112" s="17">
        <f>IF(E112="","",TEXT(E112,"0000000000"))</f>
        <v/>
      </c>
      <c r="G112" s="17">
        <f>IF(B112="","",IFERROR(INDEX(DB!$B:$B,MATCH(B112,DB!$A:$A,0)),"-"))</f>
        <v/>
      </c>
      <c r="H112" s="4">
        <f>IF(B112="","",IF(G112="-","NEW ITEM",IF(F112=TEXT(G112,"0000000000"),"MATCH","MISMATCH")))</f>
        <v/>
      </c>
      <c r="I112" s="4">
        <f>IF(B112="","",IF(G112="-","-",IF(F112&lt;&gt;TEXT(G112,"0000000000"),"CHECK - HS MISMATCH","-")))</f>
        <v/>
      </c>
    </row>
    <row r="113" ht="15" customHeight="1">
      <c r="A113" s="14">
        <f>IF(INPUT!A113="","",INPUT!A113)</f>
        <v/>
      </c>
      <c r="B113" s="14">
        <f>IF(INPUT!B113="","",INPUT!B113)</f>
        <v/>
      </c>
      <c r="C113" s="14">
        <f>IF(INPUT!D113="","",INPUT!D113)</f>
        <v/>
      </c>
      <c r="D113" s="14">
        <f>IF(INPUT!C113="","",INPUT!C113)</f>
        <v/>
      </c>
      <c r="E113" s="15">
        <f>IF(INPUT!E113="","",INPUT!E113)</f>
        <v/>
      </c>
      <c r="F113" s="15">
        <f>IF(E113="","",TEXT(E113,"0000000000"))</f>
        <v/>
      </c>
      <c r="G113" s="15">
        <f>IF(B113="","",IFERROR(INDEX(DB!$B:$B,MATCH(B113,DB!$A:$A,0)),"-"))</f>
        <v/>
      </c>
      <c r="H113" s="6">
        <f>IF(B113="","",IF(G113="-","NEW ITEM",IF(F113=TEXT(G113,"0000000000"),"MATCH","MISMATCH")))</f>
        <v/>
      </c>
      <c r="I113" s="6">
        <f>IF(B113="","",IF(G113="-","-",IF(F113&lt;&gt;TEXT(G113,"0000000000"),"CHECK - HS MISMATCH","-")))</f>
        <v/>
      </c>
    </row>
    <row r="114" ht="15" customHeight="1">
      <c r="A114" s="16">
        <f>IF(INPUT!A114="","",INPUT!A114)</f>
        <v/>
      </c>
      <c r="B114" s="16">
        <f>IF(INPUT!B114="","",INPUT!B114)</f>
        <v/>
      </c>
      <c r="C114" s="16">
        <f>IF(INPUT!D114="","",INPUT!D114)</f>
        <v/>
      </c>
      <c r="D114" s="16">
        <f>IF(INPUT!C114="","",INPUT!C114)</f>
        <v/>
      </c>
      <c r="E114" s="17">
        <f>IF(INPUT!E114="","",INPUT!E114)</f>
        <v/>
      </c>
      <c r="F114" s="17">
        <f>IF(E114="","",TEXT(E114,"0000000000"))</f>
        <v/>
      </c>
      <c r="G114" s="17">
        <f>IF(B114="","",IFERROR(INDEX(DB!$B:$B,MATCH(B114,DB!$A:$A,0)),"-"))</f>
        <v/>
      </c>
      <c r="H114" s="4">
        <f>IF(B114="","",IF(G114="-","NEW ITEM",IF(F114=TEXT(G114,"0000000000"),"MATCH","MISMATCH")))</f>
        <v/>
      </c>
      <c r="I114" s="4">
        <f>IF(B114="","",IF(G114="-","-",IF(F114&lt;&gt;TEXT(G114,"0000000000"),"CHECK - HS MISMATCH","-")))</f>
        <v/>
      </c>
    </row>
    <row r="115" ht="15" customHeight="1">
      <c r="A115" s="14">
        <f>IF(INPUT!A115="","",INPUT!A115)</f>
        <v/>
      </c>
      <c r="B115" s="14">
        <f>IF(INPUT!B115="","",INPUT!B115)</f>
        <v/>
      </c>
      <c r="C115" s="14">
        <f>IF(INPUT!D115="","",INPUT!D115)</f>
        <v/>
      </c>
      <c r="D115" s="14">
        <f>IF(INPUT!C115="","",INPUT!C115)</f>
        <v/>
      </c>
      <c r="E115" s="15">
        <f>IF(INPUT!E115="","",INPUT!E115)</f>
        <v/>
      </c>
      <c r="F115" s="15">
        <f>IF(E115="","",TEXT(E115,"0000000000"))</f>
        <v/>
      </c>
      <c r="G115" s="15">
        <f>IF(B115="","",IFERROR(INDEX(DB!$B:$B,MATCH(B115,DB!$A:$A,0)),"-"))</f>
        <v/>
      </c>
      <c r="H115" s="6">
        <f>IF(B115="","",IF(G115="-","NEW ITEM",IF(F115=TEXT(G115,"0000000000"),"MATCH","MISMATCH")))</f>
        <v/>
      </c>
      <c r="I115" s="6">
        <f>IF(B115="","",IF(G115="-","-",IF(F115&lt;&gt;TEXT(G115,"0000000000"),"CHECK - HS MISMATCH","-")))</f>
        <v/>
      </c>
    </row>
    <row r="116" ht="15" customHeight="1">
      <c r="A116" s="16">
        <f>IF(INPUT!A116="","",INPUT!A116)</f>
        <v/>
      </c>
      <c r="B116" s="16">
        <f>IF(INPUT!B116="","",INPUT!B116)</f>
        <v/>
      </c>
      <c r="C116" s="16">
        <f>IF(INPUT!D116="","",INPUT!D116)</f>
        <v/>
      </c>
      <c r="D116" s="16">
        <f>IF(INPUT!C116="","",INPUT!C116)</f>
        <v/>
      </c>
      <c r="E116" s="17">
        <f>IF(INPUT!E116="","",INPUT!E116)</f>
        <v/>
      </c>
      <c r="F116" s="17">
        <f>IF(E116="","",TEXT(E116,"0000000000"))</f>
        <v/>
      </c>
      <c r="G116" s="17">
        <f>IF(B116="","",IFERROR(INDEX(DB!$B:$B,MATCH(B116,DB!$A:$A,0)),"-"))</f>
        <v/>
      </c>
      <c r="H116" s="4">
        <f>IF(B116="","",IF(G116="-","NEW ITEM",IF(F116=TEXT(G116,"0000000000"),"MATCH","MISMATCH")))</f>
        <v/>
      </c>
      <c r="I116" s="4">
        <f>IF(B116="","",IF(G116="-","-",IF(F116&lt;&gt;TEXT(G116,"0000000000"),"CHECK - HS MISMATCH","-")))</f>
        <v/>
      </c>
    </row>
    <row r="117" ht="15" customHeight="1">
      <c r="A117" s="14">
        <f>IF(INPUT!A117="","",INPUT!A117)</f>
        <v/>
      </c>
      <c r="B117" s="14">
        <f>IF(INPUT!B117="","",INPUT!B117)</f>
        <v/>
      </c>
      <c r="C117" s="14">
        <f>IF(INPUT!D117="","",INPUT!D117)</f>
        <v/>
      </c>
      <c r="D117" s="14">
        <f>IF(INPUT!C117="","",INPUT!C117)</f>
        <v/>
      </c>
      <c r="E117" s="15">
        <f>IF(INPUT!E117="","",INPUT!E117)</f>
        <v/>
      </c>
      <c r="F117" s="15">
        <f>IF(E117="","",TEXT(E117,"0000000000"))</f>
        <v/>
      </c>
      <c r="G117" s="15">
        <f>IF(B117="","",IFERROR(INDEX(DB!$B:$B,MATCH(B117,DB!$A:$A,0)),"-"))</f>
        <v/>
      </c>
      <c r="H117" s="6">
        <f>IF(B117="","",IF(G117="-","NEW ITEM",IF(F117=TEXT(G117,"0000000000"),"MATCH","MISMATCH")))</f>
        <v/>
      </c>
      <c r="I117" s="6">
        <f>IF(B117="","",IF(G117="-","-",IF(F117&lt;&gt;TEXT(G117,"0000000000"),"CHECK - HS MISMATCH","-")))</f>
        <v/>
      </c>
    </row>
    <row r="118" ht="15" customHeight="1">
      <c r="A118" s="16">
        <f>IF(INPUT!A118="","",INPUT!A118)</f>
        <v/>
      </c>
      <c r="B118" s="16">
        <f>IF(INPUT!B118="","",INPUT!B118)</f>
        <v/>
      </c>
      <c r="C118" s="16">
        <f>IF(INPUT!D118="","",INPUT!D118)</f>
        <v/>
      </c>
      <c r="D118" s="16">
        <f>IF(INPUT!C118="","",INPUT!C118)</f>
        <v/>
      </c>
      <c r="E118" s="17">
        <f>IF(INPUT!E118="","",INPUT!E118)</f>
        <v/>
      </c>
      <c r="F118" s="17">
        <f>IF(E118="","",TEXT(E118,"0000000000"))</f>
        <v/>
      </c>
      <c r="G118" s="17">
        <f>IF(B118="","",IFERROR(INDEX(DB!$B:$B,MATCH(B118,DB!$A:$A,0)),"-"))</f>
        <v/>
      </c>
      <c r="H118" s="4">
        <f>IF(B118="","",IF(G118="-","NEW ITEM",IF(F118=TEXT(G118,"0000000000"),"MATCH","MISMATCH")))</f>
        <v/>
      </c>
      <c r="I118" s="4">
        <f>IF(B118="","",IF(G118="-","-",IF(F118&lt;&gt;TEXT(G118,"0000000000"),"CHECK - HS MISMATCH","-")))</f>
        <v/>
      </c>
    </row>
    <row r="119" ht="15" customHeight="1">
      <c r="A119" s="14">
        <f>IF(INPUT!A119="","",INPUT!A119)</f>
        <v/>
      </c>
      <c r="B119" s="14">
        <f>IF(INPUT!B119="","",INPUT!B119)</f>
        <v/>
      </c>
      <c r="C119" s="14">
        <f>IF(INPUT!D119="","",INPUT!D119)</f>
        <v/>
      </c>
      <c r="D119" s="14">
        <f>IF(INPUT!C119="","",INPUT!C119)</f>
        <v/>
      </c>
      <c r="E119" s="15">
        <f>IF(INPUT!E119="","",INPUT!E119)</f>
        <v/>
      </c>
      <c r="F119" s="15">
        <f>IF(E119="","",TEXT(E119,"0000000000"))</f>
        <v/>
      </c>
      <c r="G119" s="15">
        <f>IF(B119="","",IFERROR(INDEX(DB!$B:$B,MATCH(B119,DB!$A:$A,0)),"-"))</f>
        <v/>
      </c>
      <c r="H119" s="6">
        <f>IF(B119="","",IF(G119="-","NEW ITEM",IF(F119=TEXT(G119,"0000000000"),"MATCH","MISMATCH")))</f>
        <v/>
      </c>
      <c r="I119" s="6">
        <f>IF(B119="","",IF(G119="-","-",IF(F119&lt;&gt;TEXT(G119,"0000000000"),"CHECK - HS MISMATCH","-")))</f>
        <v/>
      </c>
    </row>
    <row r="120" ht="15" customHeight="1">
      <c r="A120" s="16">
        <f>IF(INPUT!A120="","",INPUT!A120)</f>
        <v/>
      </c>
      <c r="B120" s="16">
        <f>IF(INPUT!B120="","",INPUT!B120)</f>
        <v/>
      </c>
      <c r="C120" s="16">
        <f>IF(INPUT!D120="","",INPUT!D120)</f>
        <v/>
      </c>
      <c r="D120" s="16">
        <f>IF(INPUT!C120="","",INPUT!C120)</f>
        <v/>
      </c>
      <c r="E120" s="17">
        <f>IF(INPUT!E120="","",INPUT!E120)</f>
        <v/>
      </c>
      <c r="F120" s="17">
        <f>IF(E120="","",TEXT(E120,"0000000000"))</f>
        <v/>
      </c>
      <c r="G120" s="17">
        <f>IF(B120="","",IFERROR(INDEX(DB!$B:$B,MATCH(B120,DB!$A:$A,0)),"-"))</f>
        <v/>
      </c>
      <c r="H120" s="4">
        <f>IF(B120="","",IF(G120="-","NEW ITEM",IF(F120=TEXT(G120,"0000000000"),"MATCH","MISMATCH")))</f>
        <v/>
      </c>
      <c r="I120" s="4">
        <f>IF(B120="","",IF(G120="-","-",IF(F120&lt;&gt;TEXT(G120,"0000000000"),"CHECK - HS MISMATCH","-")))</f>
        <v/>
      </c>
    </row>
    <row r="121" ht="15" customHeight="1">
      <c r="A121" s="14">
        <f>IF(INPUT!A121="","",INPUT!A121)</f>
        <v/>
      </c>
      <c r="B121" s="14">
        <f>IF(INPUT!B121="","",INPUT!B121)</f>
        <v/>
      </c>
      <c r="C121" s="14">
        <f>IF(INPUT!D121="","",INPUT!D121)</f>
        <v/>
      </c>
      <c r="D121" s="14">
        <f>IF(INPUT!C121="","",INPUT!C121)</f>
        <v/>
      </c>
      <c r="E121" s="15">
        <f>IF(INPUT!E121="","",INPUT!E121)</f>
        <v/>
      </c>
      <c r="F121" s="15">
        <f>IF(E121="","",TEXT(E121,"0000000000"))</f>
        <v/>
      </c>
      <c r="G121" s="15">
        <f>IF(B121="","",IFERROR(INDEX(DB!$B:$B,MATCH(B121,DB!$A:$A,0)),"-"))</f>
        <v/>
      </c>
      <c r="H121" s="6">
        <f>IF(B121="","",IF(G121="-","NEW ITEM",IF(F121=TEXT(G121,"0000000000"),"MATCH","MISMATCH")))</f>
        <v/>
      </c>
      <c r="I121" s="6">
        <f>IF(B121="","",IF(G121="-","-",IF(F121&lt;&gt;TEXT(G121,"0000000000"),"CHECK - HS MISMATCH","-")))</f>
        <v/>
      </c>
    </row>
    <row r="122" ht="15" customHeight="1">
      <c r="A122" s="16">
        <f>IF(INPUT!A122="","",INPUT!A122)</f>
        <v/>
      </c>
      <c r="B122" s="16">
        <f>IF(INPUT!B122="","",INPUT!B122)</f>
        <v/>
      </c>
      <c r="C122" s="16">
        <f>IF(INPUT!D122="","",INPUT!D122)</f>
        <v/>
      </c>
      <c r="D122" s="16">
        <f>IF(INPUT!C122="","",INPUT!C122)</f>
        <v/>
      </c>
      <c r="E122" s="17">
        <f>IF(INPUT!E122="","",INPUT!E122)</f>
        <v/>
      </c>
      <c r="F122" s="17">
        <f>IF(E122="","",TEXT(E122,"0000000000"))</f>
        <v/>
      </c>
      <c r="G122" s="17">
        <f>IF(B122="","",IFERROR(INDEX(DB!$B:$B,MATCH(B122,DB!$A:$A,0)),"-"))</f>
        <v/>
      </c>
      <c r="H122" s="4">
        <f>IF(B122="","",IF(G122="-","NEW ITEM",IF(F122=TEXT(G122,"0000000000"),"MATCH","MISMATCH")))</f>
        <v/>
      </c>
      <c r="I122" s="4">
        <f>IF(B122="","",IF(G122="-","-",IF(F122&lt;&gt;TEXT(G122,"0000000000"),"CHECK - HS MISMATCH","-")))</f>
        <v/>
      </c>
    </row>
    <row r="123" ht="15" customHeight="1">
      <c r="A123" s="14">
        <f>IF(INPUT!A123="","",INPUT!A123)</f>
        <v/>
      </c>
      <c r="B123" s="14">
        <f>IF(INPUT!B123="","",INPUT!B123)</f>
        <v/>
      </c>
      <c r="C123" s="14">
        <f>IF(INPUT!D123="","",INPUT!D123)</f>
        <v/>
      </c>
      <c r="D123" s="14">
        <f>IF(INPUT!C123="","",INPUT!C123)</f>
        <v/>
      </c>
      <c r="E123" s="15">
        <f>IF(INPUT!E123="","",INPUT!E123)</f>
        <v/>
      </c>
      <c r="F123" s="15">
        <f>IF(E123="","",TEXT(E123,"0000000000"))</f>
        <v/>
      </c>
      <c r="G123" s="15">
        <f>IF(B123="","",IFERROR(INDEX(DB!$B:$B,MATCH(B123,DB!$A:$A,0)),"-"))</f>
        <v/>
      </c>
      <c r="H123" s="6">
        <f>IF(B123="","",IF(G123="-","NEW ITEM",IF(F123=TEXT(G123,"0000000000"),"MATCH","MISMATCH")))</f>
        <v/>
      </c>
      <c r="I123" s="6">
        <f>IF(B123="","",IF(G123="-","-",IF(F123&lt;&gt;TEXT(G123,"0000000000"),"CHECK - HS MISMATCH","-")))</f>
        <v/>
      </c>
    </row>
    <row r="124" ht="15" customHeight="1">
      <c r="A124" s="16">
        <f>IF(INPUT!A124="","",INPUT!A124)</f>
        <v/>
      </c>
      <c r="B124" s="16">
        <f>IF(INPUT!B124="","",INPUT!B124)</f>
        <v/>
      </c>
      <c r="C124" s="16">
        <f>IF(INPUT!D124="","",INPUT!D124)</f>
        <v/>
      </c>
      <c r="D124" s="16">
        <f>IF(INPUT!C124="","",INPUT!C124)</f>
        <v/>
      </c>
      <c r="E124" s="17">
        <f>IF(INPUT!E124="","",INPUT!E124)</f>
        <v/>
      </c>
      <c r="F124" s="17">
        <f>IF(E124="","",TEXT(E124,"0000000000"))</f>
        <v/>
      </c>
      <c r="G124" s="17">
        <f>IF(B124="","",IFERROR(INDEX(DB!$B:$B,MATCH(B124,DB!$A:$A,0)),"-"))</f>
        <v/>
      </c>
      <c r="H124" s="4">
        <f>IF(B124="","",IF(G124="-","NEW ITEM",IF(F124=TEXT(G124,"0000000000"),"MATCH","MISMATCH")))</f>
        <v/>
      </c>
      <c r="I124" s="4">
        <f>IF(B124="","",IF(G124="-","-",IF(F124&lt;&gt;TEXT(G124,"0000000000"),"CHECK - HS MISMATCH","-")))</f>
        <v/>
      </c>
    </row>
    <row r="125" ht="15" customHeight="1">
      <c r="A125" s="14">
        <f>IF(INPUT!A125="","",INPUT!A125)</f>
        <v/>
      </c>
      <c r="B125" s="14">
        <f>IF(INPUT!B125="","",INPUT!B125)</f>
        <v/>
      </c>
      <c r="C125" s="14">
        <f>IF(INPUT!D125="","",INPUT!D125)</f>
        <v/>
      </c>
      <c r="D125" s="14">
        <f>IF(INPUT!C125="","",INPUT!C125)</f>
        <v/>
      </c>
      <c r="E125" s="15">
        <f>IF(INPUT!E125="","",INPUT!E125)</f>
        <v/>
      </c>
      <c r="F125" s="15">
        <f>IF(E125="","",TEXT(E125,"0000000000"))</f>
        <v/>
      </c>
      <c r="G125" s="15">
        <f>IF(B125="","",IFERROR(INDEX(DB!$B:$B,MATCH(B125,DB!$A:$A,0)),"-"))</f>
        <v/>
      </c>
      <c r="H125" s="6">
        <f>IF(B125="","",IF(G125="-","NEW ITEM",IF(F125=TEXT(G125,"0000000000"),"MATCH","MISMATCH")))</f>
        <v/>
      </c>
      <c r="I125" s="6">
        <f>IF(B125="","",IF(G125="-","-",IF(F125&lt;&gt;TEXT(G125,"0000000000"),"CHECK - HS MISMATCH","-")))</f>
        <v/>
      </c>
    </row>
    <row r="126" ht="15" customHeight="1">
      <c r="A126" s="16">
        <f>IF(INPUT!A126="","",INPUT!A126)</f>
        <v/>
      </c>
      <c r="B126" s="16">
        <f>IF(INPUT!B126="","",INPUT!B126)</f>
        <v/>
      </c>
      <c r="C126" s="16">
        <f>IF(INPUT!D126="","",INPUT!D126)</f>
        <v/>
      </c>
      <c r="D126" s="16">
        <f>IF(INPUT!C126="","",INPUT!C126)</f>
        <v/>
      </c>
      <c r="E126" s="17">
        <f>IF(INPUT!E126="","",INPUT!E126)</f>
        <v/>
      </c>
      <c r="F126" s="17">
        <f>IF(E126="","",TEXT(E126,"0000000000"))</f>
        <v/>
      </c>
      <c r="G126" s="17">
        <f>IF(B126="","",IFERROR(INDEX(DB!$B:$B,MATCH(B126,DB!$A:$A,0)),"-"))</f>
        <v/>
      </c>
      <c r="H126" s="4">
        <f>IF(B126="","",IF(G126="-","NEW ITEM",IF(F126=TEXT(G126,"0000000000"),"MATCH","MISMATCH")))</f>
        <v/>
      </c>
      <c r="I126" s="4">
        <f>IF(B126="","",IF(G126="-","-",IF(F126&lt;&gt;TEXT(G126,"0000000000"),"CHECK - HS MISMATCH","-")))</f>
        <v/>
      </c>
    </row>
    <row r="127" ht="15" customHeight="1">
      <c r="A127" s="14">
        <f>IF(INPUT!A127="","",INPUT!A127)</f>
        <v/>
      </c>
      <c r="B127" s="14">
        <f>IF(INPUT!B127="","",INPUT!B127)</f>
        <v/>
      </c>
      <c r="C127" s="14">
        <f>IF(INPUT!D127="","",INPUT!D127)</f>
        <v/>
      </c>
      <c r="D127" s="14">
        <f>IF(INPUT!C127="","",INPUT!C127)</f>
        <v/>
      </c>
      <c r="E127" s="15">
        <f>IF(INPUT!E127="","",INPUT!E127)</f>
        <v/>
      </c>
      <c r="F127" s="15">
        <f>IF(E127="","",TEXT(E127,"0000000000"))</f>
        <v/>
      </c>
      <c r="G127" s="15">
        <f>IF(B127="","",IFERROR(INDEX(DB!$B:$B,MATCH(B127,DB!$A:$A,0)),"-"))</f>
        <v/>
      </c>
      <c r="H127" s="6">
        <f>IF(B127="","",IF(G127="-","NEW ITEM",IF(F127=TEXT(G127,"0000000000"),"MATCH","MISMATCH")))</f>
        <v/>
      </c>
      <c r="I127" s="6">
        <f>IF(B127="","",IF(G127="-","-",IF(F127&lt;&gt;TEXT(G127,"0000000000"),"CHECK - HS MISMATCH","-")))</f>
        <v/>
      </c>
    </row>
    <row r="128" ht="15" customHeight="1">
      <c r="A128" s="16">
        <f>IF(INPUT!A128="","",INPUT!A128)</f>
        <v/>
      </c>
      <c r="B128" s="16">
        <f>IF(INPUT!B128="","",INPUT!B128)</f>
        <v/>
      </c>
      <c r="C128" s="16">
        <f>IF(INPUT!D128="","",INPUT!D128)</f>
        <v/>
      </c>
      <c r="D128" s="16">
        <f>IF(INPUT!C128="","",INPUT!C128)</f>
        <v/>
      </c>
      <c r="E128" s="17">
        <f>IF(INPUT!E128="","",INPUT!E128)</f>
        <v/>
      </c>
      <c r="F128" s="17">
        <f>IF(E128="","",TEXT(E128,"0000000000"))</f>
        <v/>
      </c>
      <c r="G128" s="17">
        <f>IF(B128="","",IFERROR(INDEX(DB!$B:$B,MATCH(B128,DB!$A:$A,0)),"-"))</f>
        <v/>
      </c>
      <c r="H128" s="4">
        <f>IF(B128="","",IF(G128="-","NEW ITEM",IF(F128=TEXT(G128,"0000000000"),"MATCH","MISMATCH")))</f>
        <v/>
      </c>
      <c r="I128" s="4">
        <f>IF(B128="","",IF(G128="-","-",IF(F128&lt;&gt;TEXT(G128,"0000000000"),"CHECK - HS MISMATCH","-")))</f>
        <v/>
      </c>
    </row>
    <row r="129" ht="15" customHeight="1">
      <c r="A129" s="14">
        <f>IF(INPUT!A129="","",INPUT!A129)</f>
        <v/>
      </c>
      <c r="B129" s="14">
        <f>IF(INPUT!B129="","",INPUT!B129)</f>
        <v/>
      </c>
      <c r="C129" s="14">
        <f>IF(INPUT!D129="","",INPUT!D129)</f>
        <v/>
      </c>
      <c r="D129" s="14">
        <f>IF(INPUT!C129="","",INPUT!C129)</f>
        <v/>
      </c>
      <c r="E129" s="15">
        <f>IF(INPUT!E129="","",INPUT!E129)</f>
        <v/>
      </c>
      <c r="F129" s="15">
        <f>IF(E129="","",TEXT(E129,"0000000000"))</f>
        <v/>
      </c>
      <c r="G129" s="15">
        <f>IF(B129="","",IFERROR(INDEX(DB!$B:$B,MATCH(B129,DB!$A:$A,0)),"-"))</f>
        <v/>
      </c>
      <c r="H129" s="6">
        <f>IF(B129="","",IF(G129="-","NEW ITEM",IF(F129=TEXT(G129,"0000000000"),"MATCH","MISMATCH")))</f>
        <v/>
      </c>
      <c r="I129" s="6">
        <f>IF(B129="","",IF(G129="-","-",IF(F129&lt;&gt;TEXT(G129,"0000000000"),"CHECK - HS MISMATCH","-")))</f>
        <v/>
      </c>
    </row>
    <row r="130" ht="15" customHeight="1">
      <c r="A130" s="16">
        <f>IF(INPUT!A130="","",INPUT!A130)</f>
        <v/>
      </c>
      <c r="B130" s="16">
        <f>IF(INPUT!B130="","",INPUT!B130)</f>
        <v/>
      </c>
      <c r="C130" s="16">
        <f>IF(INPUT!D130="","",INPUT!D130)</f>
        <v/>
      </c>
      <c r="D130" s="16">
        <f>IF(INPUT!C130="","",INPUT!C130)</f>
        <v/>
      </c>
      <c r="E130" s="17">
        <f>IF(INPUT!E130="","",INPUT!E130)</f>
        <v/>
      </c>
      <c r="F130" s="17">
        <f>IF(E130="","",TEXT(E130,"0000000000"))</f>
        <v/>
      </c>
      <c r="G130" s="17">
        <f>IF(B130="","",IFERROR(INDEX(DB!$B:$B,MATCH(B130,DB!$A:$A,0)),"-"))</f>
        <v/>
      </c>
      <c r="H130" s="4">
        <f>IF(B130="","",IF(G130="-","NEW ITEM",IF(F130=TEXT(G130,"0000000000"),"MATCH","MISMATCH")))</f>
        <v/>
      </c>
      <c r="I130" s="4">
        <f>IF(B130="","",IF(G130="-","-",IF(F130&lt;&gt;TEXT(G130,"0000000000"),"CHECK - HS MISMATCH","-")))</f>
        <v/>
      </c>
    </row>
    <row r="131" ht="15" customHeight="1">
      <c r="A131" s="14">
        <f>IF(INPUT!A131="","",INPUT!A131)</f>
        <v/>
      </c>
      <c r="B131" s="14">
        <f>IF(INPUT!B131="","",INPUT!B131)</f>
        <v/>
      </c>
      <c r="C131" s="14">
        <f>IF(INPUT!D131="","",INPUT!D131)</f>
        <v/>
      </c>
      <c r="D131" s="14">
        <f>IF(INPUT!C131="","",INPUT!C131)</f>
        <v/>
      </c>
      <c r="E131" s="15">
        <f>IF(INPUT!E131="","",INPUT!E131)</f>
        <v/>
      </c>
      <c r="F131" s="15">
        <f>IF(E131="","",TEXT(E131,"0000000000"))</f>
        <v/>
      </c>
      <c r="G131" s="15">
        <f>IF(B131="","",IFERROR(INDEX(DB!$B:$B,MATCH(B131,DB!$A:$A,0)),"-"))</f>
        <v/>
      </c>
      <c r="H131" s="6">
        <f>IF(B131="","",IF(G131="-","NEW ITEM",IF(F131=TEXT(G131,"0000000000"),"MATCH","MISMATCH")))</f>
        <v/>
      </c>
      <c r="I131" s="6">
        <f>IF(B131="","",IF(G131="-","-",IF(F131&lt;&gt;TEXT(G131,"0000000000"),"CHECK - HS MISMATCH","-")))</f>
        <v/>
      </c>
    </row>
    <row r="132" ht="15" customHeight="1">
      <c r="A132" s="16">
        <f>IF(INPUT!A132="","",INPUT!A132)</f>
        <v/>
      </c>
      <c r="B132" s="16">
        <f>IF(INPUT!B132="","",INPUT!B132)</f>
        <v/>
      </c>
      <c r="C132" s="16">
        <f>IF(INPUT!D132="","",INPUT!D132)</f>
        <v/>
      </c>
      <c r="D132" s="16">
        <f>IF(INPUT!C132="","",INPUT!C132)</f>
        <v/>
      </c>
      <c r="E132" s="17">
        <f>IF(INPUT!E132="","",INPUT!E132)</f>
        <v/>
      </c>
      <c r="F132" s="17">
        <f>IF(E132="","",TEXT(E132,"0000000000"))</f>
        <v/>
      </c>
      <c r="G132" s="17">
        <f>IF(B132="","",IFERROR(INDEX(DB!$B:$B,MATCH(B132,DB!$A:$A,0)),"-"))</f>
        <v/>
      </c>
      <c r="H132" s="4">
        <f>IF(B132="","",IF(G132="-","NEW ITEM",IF(F132=TEXT(G132,"0000000000"),"MATCH","MISMATCH")))</f>
        <v/>
      </c>
      <c r="I132" s="4">
        <f>IF(B132="","",IF(G132="-","-",IF(F132&lt;&gt;TEXT(G132,"0000000000"),"CHECK - HS MISMATCH","-")))</f>
        <v/>
      </c>
    </row>
    <row r="133" ht="15" customHeight="1">
      <c r="A133" s="14">
        <f>IF(INPUT!A133="","",INPUT!A133)</f>
        <v/>
      </c>
      <c r="B133" s="14">
        <f>IF(INPUT!B133="","",INPUT!B133)</f>
        <v/>
      </c>
      <c r="C133" s="14">
        <f>IF(INPUT!D133="","",INPUT!D133)</f>
        <v/>
      </c>
      <c r="D133" s="14">
        <f>IF(INPUT!C133="","",INPUT!C133)</f>
        <v/>
      </c>
      <c r="E133" s="15">
        <f>IF(INPUT!E133="","",INPUT!E133)</f>
        <v/>
      </c>
      <c r="F133" s="15">
        <f>IF(E133="","",TEXT(E133,"0000000000"))</f>
        <v/>
      </c>
      <c r="G133" s="15">
        <f>IF(B133="","",IFERROR(INDEX(DB!$B:$B,MATCH(B133,DB!$A:$A,0)),"-"))</f>
        <v/>
      </c>
      <c r="H133" s="6">
        <f>IF(B133="","",IF(G133="-","NEW ITEM",IF(F133=TEXT(G133,"0000000000"),"MATCH","MISMATCH")))</f>
        <v/>
      </c>
      <c r="I133" s="6">
        <f>IF(B133="","",IF(G133="-","-",IF(F133&lt;&gt;TEXT(G133,"0000000000"),"CHECK - HS MISMATCH","-")))</f>
        <v/>
      </c>
    </row>
    <row r="134" ht="15" customHeight="1">
      <c r="A134" s="16">
        <f>IF(INPUT!A134="","",INPUT!A134)</f>
        <v/>
      </c>
      <c r="B134" s="16">
        <f>IF(INPUT!B134="","",INPUT!B134)</f>
        <v/>
      </c>
      <c r="C134" s="16">
        <f>IF(INPUT!D134="","",INPUT!D134)</f>
        <v/>
      </c>
      <c r="D134" s="16">
        <f>IF(INPUT!C134="","",INPUT!C134)</f>
        <v/>
      </c>
      <c r="E134" s="17">
        <f>IF(INPUT!E134="","",INPUT!E134)</f>
        <v/>
      </c>
      <c r="F134" s="17">
        <f>IF(E134="","",TEXT(E134,"0000000000"))</f>
        <v/>
      </c>
      <c r="G134" s="17">
        <f>IF(B134="","",IFERROR(INDEX(DB!$B:$B,MATCH(B134,DB!$A:$A,0)),"-"))</f>
        <v/>
      </c>
      <c r="H134" s="4">
        <f>IF(B134="","",IF(G134="-","NEW ITEM",IF(F134=TEXT(G134,"0000000000"),"MATCH","MISMATCH")))</f>
        <v/>
      </c>
      <c r="I134" s="4">
        <f>IF(B134="","",IF(G134="-","-",IF(F134&lt;&gt;TEXT(G134,"0000000000"),"CHECK - HS MISMATCH","-")))</f>
        <v/>
      </c>
    </row>
    <row r="135" ht="15" customHeight="1">
      <c r="A135" s="14">
        <f>IF(INPUT!A135="","",INPUT!A135)</f>
        <v/>
      </c>
      <c r="B135" s="14">
        <f>IF(INPUT!B135="","",INPUT!B135)</f>
        <v/>
      </c>
      <c r="C135" s="14">
        <f>IF(INPUT!D135="","",INPUT!D135)</f>
        <v/>
      </c>
      <c r="D135" s="14">
        <f>IF(INPUT!C135="","",INPUT!C135)</f>
        <v/>
      </c>
      <c r="E135" s="15">
        <f>IF(INPUT!E135="","",INPUT!E135)</f>
        <v/>
      </c>
      <c r="F135" s="15">
        <f>IF(E135="","",TEXT(E135,"0000000000"))</f>
        <v/>
      </c>
      <c r="G135" s="15">
        <f>IF(B135="","",IFERROR(INDEX(DB!$B:$B,MATCH(B135,DB!$A:$A,0)),"-"))</f>
        <v/>
      </c>
      <c r="H135" s="6">
        <f>IF(B135="","",IF(G135="-","NEW ITEM",IF(F135=TEXT(G135,"0000000000"),"MATCH","MISMATCH")))</f>
        <v/>
      </c>
      <c r="I135" s="6">
        <f>IF(B135="","",IF(G135="-","-",IF(F135&lt;&gt;TEXT(G135,"0000000000"),"CHECK - HS MISMATCH","-")))</f>
        <v/>
      </c>
    </row>
    <row r="136" ht="15" customHeight="1">
      <c r="A136" s="16">
        <f>IF(INPUT!A136="","",INPUT!A136)</f>
        <v/>
      </c>
      <c r="B136" s="16">
        <f>IF(INPUT!B136="","",INPUT!B136)</f>
        <v/>
      </c>
      <c r="C136" s="16">
        <f>IF(INPUT!D136="","",INPUT!D136)</f>
        <v/>
      </c>
      <c r="D136" s="16">
        <f>IF(INPUT!C136="","",INPUT!C136)</f>
        <v/>
      </c>
      <c r="E136" s="17">
        <f>IF(INPUT!E136="","",INPUT!E136)</f>
        <v/>
      </c>
      <c r="F136" s="17">
        <f>IF(E136="","",TEXT(E136,"0000000000"))</f>
        <v/>
      </c>
      <c r="G136" s="17">
        <f>IF(B136="","",IFERROR(INDEX(DB!$B:$B,MATCH(B136,DB!$A:$A,0)),"-"))</f>
        <v/>
      </c>
      <c r="H136" s="4">
        <f>IF(B136="","",IF(G136="-","NEW ITEM",IF(F136=TEXT(G136,"0000000000"),"MATCH","MISMATCH")))</f>
        <v/>
      </c>
      <c r="I136" s="4">
        <f>IF(B136="","",IF(G136="-","-",IF(F136&lt;&gt;TEXT(G136,"0000000000"),"CHECK - HS MISMATCH","-")))</f>
        <v/>
      </c>
    </row>
    <row r="137" ht="15" customHeight="1">
      <c r="A137" s="14">
        <f>IF(INPUT!A137="","",INPUT!A137)</f>
        <v/>
      </c>
      <c r="B137" s="14">
        <f>IF(INPUT!B137="","",INPUT!B137)</f>
        <v/>
      </c>
      <c r="C137" s="14">
        <f>IF(INPUT!D137="","",INPUT!D137)</f>
        <v/>
      </c>
      <c r="D137" s="14">
        <f>IF(INPUT!C137="","",INPUT!C137)</f>
        <v/>
      </c>
      <c r="E137" s="15">
        <f>IF(INPUT!E137="","",INPUT!E137)</f>
        <v/>
      </c>
      <c r="F137" s="15">
        <f>IF(E137="","",TEXT(E137,"0000000000"))</f>
        <v/>
      </c>
      <c r="G137" s="15">
        <f>IF(B137="","",IFERROR(INDEX(DB!$B:$B,MATCH(B137,DB!$A:$A,0)),"-"))</f>
        <v/>
      </c>
      <c r="H137" s="6">
        <f>IF(B137="","",IF(G137="-","NEW ITEM",IF(F137=TEXT(G137,"0000000000"),"MATCH","MISMATCH")))</f>
        <v/>
      </c>
      <c r="I137" s="6">
        <f>IF(B137="","",IF(G137="-","-",IF(F137&lt;&gt;TEXT(G137,"0000000000"),"CHECK - HS MISMATCH","-")))</f>
        <v/>
      </c>
    </row>
    <row r="138" ht="15" customHeight="1">
      <c r="A138" s="16">
        <f>IF(INPUT!A138="","",INPUT!A138)</f>
        <v/>
      </c>
      <c r="B138" s="16">
        <f>IF(INPUT!B138="","",INPUT!B138)</f>
        <v/>
      </c>
      <c r="C138" s="16">
        <f>IF(INPUT!D138="","",INPUT!D138)</f>
        <v/>
      </c>
      <c r="D138" s="16">
        <f>IF(INPUT!C138="","",INPUT!C138)</f>
        <v/>
      </c>
      <c r="E138" s="17">
        <f>IF(INPUT!E138="","",INPUT!E138)</f>
        <v/>
      </c>
      <c r="F138" s="17">
        <f>IF(E138="","",TEXT(E138,"0000000000"))</f>
        <v/>
      </c>
      <c r="G138" s="17">
        <f>IF(B138="","",IFERROR(INDEX(DB!$B:$B,MATCH(B138,DB!$A:$A,0)),"-"))</f>
        <v/>
      </c>
      <c r="H138" s="4">
        <f>IF(B138="","",IF(G138="-","NEW ITEM",IF(F138=TEXT(G138,"0000000000"),"MATCH","MISMATCH")))</f>
        <v/>
      </c>
      <c r="I138" s="4">
        <f>IF(B138="","",IF(G138="-","-",IF(F138&lt;&gt;TEXT(G138,"0000000000"),"CHECK - HS MISMATCH","-")))</f>
        <v/>
      </c>
    </row>
    <row r="139" ht="15" customHeight="1">
      <c r="A139" s="14">
        <f>IF(INPUT!A139="","",INPUT!A139)</f>
        <v/>
      </c>
      <c r="B139" s="14">
        <f>IF(INPUT!B139="","",INPUT!B139)</f>
        <v/>
      </c>
      <c r="C139" s="14">
        <f>IF(INPUT!D139="","",INPUT!D139)</f>
        <v/>
      </c>
      <c r="D139" s="14">
        <f>IF(INPUT!C139="","",INPUT!C139)</f>
        <v/>
      </c>
      <c r="E139" s="15">
        <f>IF(INPUT!E139="","",INPUT!E139)</f>
        <v/>
      </c>
      <c r="F139" s="15">
        <f>IF(E139="","",TEXT(E139,"0000000000"))</f>
        <v/>
      </c>
      <c r="G139" s="15">
        <f>IF(B139="","",IFERROR(INDEX(DB!$B:$B,MATCH(B139,DB!$A:$A,0)),"-"))</f>
        <v/>
      </c>
      <c r="H139" s="6">
        <f>IF(B139="","",IF(G139="-","NEW ITEM",IF(F139=TEXT(G139,"0000000000"),"MATCH","MISMATCH")))</f>
        <v/>
      </c>
      <c r="I139" s="6">
        <f>IF(B139="","",IF(G139="-","-",IF(F139&lt;&gt;TEXT(G139,"0000000000"),"CHECK - HS MISMATCH","-")))</f>
        <v/>
      </c>
    </row>
    <row r="140" ht="15" customHeight="1">
      <c r="A140" s="16">
        <f>IF(INPUT!A140="","",INPUT!A140)</f>
        <v/>
      </c>
      <c r="B140" s="16">
        <f>IF(INPUT!B140="","",INPUT!B140)</f>
        <v/>
      </c>
      <c r="C140" s="16">
        <f>IF(INPUT!D140="","",INPUT!D140)</f>
        <v/>
      </c>
      <c r="D140" s="16">
        <f>IF(INPUT!C140="","",INPUT!C140)</f>
        <v/>
      </c>
      <c r="E140" s="17">
        <f>IF(INPUT!E140="","",INPUT!E140)</f>
        <v/>
      </c>
      <c r="F140" s="17">
        <f>IF(E140="","",TEXT(E140,"0000000000"))</f>
        <v/>
      </c>
      <c r="G140" s="17">
        <f>IF(B140="","",IFERROR(INDEX(DB!$B:$B,MATCH(B140,DB!$A:$A,0)),"-"))</f>
        <v/>
      </c>
      <c r="H140" s="4">
        <f>IF(B140="","",IF(G140="-","NEW ITEM",IF(F140=TEXT(G140,"0000000000"),"MATCH","MISMATCH")))</f>
        <v/>
      </c>
      <c r="I140" s="4">
        <f>IF(B140="","",IF(G140="-","-",IF(F140&lt;&gt;TEXT(G140,"0000000000"),"CHECK - HS MISMATCH","-")))</f>
        <v/>
      </c>
    </row>
    <row r="141" ht="15" customHeight="1">
      <c r="A141" s="14">
        <f>IF(INPUT!A141="","",INPUT!A141)</f>
        <v/>
      </c>
      <c r="B141" s="14">
        <f>IF(INPUT!B141="","",INPUT!B141)</f>
        <v/>
      </c>
      <c r="C141" s="14">
        <f>IF(INPUT!D141="","",INPUT!D141)</f>
        <v/>
      </c>
      <c r="D141" s="14">
        <f>IF(INPUT!C141="","",INPUT!C141)</f>
        <v/>
      </c>
      <c r="E141" s="15">
        <f>IF(INPUT!E141="","",INPUT!E141)</f>
        <v/>
      </c>
      <c r="F141" s="15">
        <f>IF(E141="","",TEXT(E141,"0000000000"))</f>
        <v/>
      </c>
      <c r="G141" s="15">
        <f>IF(B141="","",IFERROR(INDEX(DB!$B:$B,MATCH(B141,DB!$A:$A,0)),"-"))</f>
        <v/>
      </c>
      <c r="H141" s="6">
        <f>IF(B141="","",IF(G141="-","NEW ITEM",IF(F141=TEXT(G141,"0000000000"),"MATCH","MISMATCH")))</f>
        <v/>
      </c>
      <c r="I141" s="6">
        <f>IF(B141="","",IF(G141="-","-",IF(F141&lt;&gt;TEXT(G141,"0000000000"),"CHECK - HS MISMATCH","-")))</f>
        <v/>
      </c>
    </row>
    <row r="142" ht="15" customHeight="1">
      <c r="A142" s="16">
        <f>IF(INPUT!A142="","",INPUT!A142)</f>
        <v/>
      </c>
      <c r="B142" s="16">
        <f>IF(INPUT!B142="","",INPUT!B142)</f>
        <v/>
      </c>
      <c r="C142" s="16">
        <f>IF(INPUT!D142="","",INPUT!D142)</f>
        <v/>
      </c>
      <c r="D142" s="16">
        <f>IF(INPUT!C142="","",INPUT!C142)</f>
        <v/>
      </c>
      <c r="E142" s="17">
        <f>IF(INPUT!E142="","",INPUT!E142)</f>
        <v/>
      </c>
      <c r="F142" s="17">
        <f>IF(E142="","",TEXT(E142,"0000000000"))</f>
        <v/>
      </c>
      <c r="G142" s="17">
        <f>IF(B142="","",IFERROR(INDEX(DB!$B:$B,MATCH(B142,DB!$A:$A,0)),"-"))</f>
        <v/>
      </c>
      <c r="H142" s="4">
        <f>IF(B142="","",IF(G142="-","NEW ITEM",IF(F142=TEXT(G142,"0000000000"),"MATCH","MISMATCH")))</f>
        <v/>
      </c>
      <c r="I142" s="4">
        <f>IF(B142="","",IF(G142="-","-",IF(F142&lt;&gt;TEXT(G142,"0000000000"),"CHECK - HS MISMATCH","-")))</f>
        <v/>
      </c>
    </row>
    <row r="143" ht="15" customHeight="1">
      <c r="A143" s="14">
        <f>IF(INPUT!A143="","",INPUT!A143)</f>
        <v/>
      </c>
      <c r="B143" s="14">
        <f>IF(INPUT!B143="","",INPUT!B143)</f>
        <v/>
      </c>
      <c r="C143" s="14">
        <f>IF(INPUT!D143="","",INPUT!D143)</f>
        <v/>
      </c>
      <c r="D143" s="14">
        <f>IF(INPUT!C143="","",INPUT!C143)</f>
        <v/>
      </c>
      <c r="E143" s="15">
        <f>IF(INPUT!E143="","",INPUT!E143)</f>
        <v/>
      </c>
      <c r="F143" s="15">
        <f>IF(E143="","",TEXT(E143,"0000000000"))</f>
        <v/>
      </c>
      <c r="G143" s="15">
        <f>IF(B143="","",IFERROR(INDEX(DB!$B:$B,MATCH(B143,DB!$A:$A,0)),"-"))</f>
        <v/>
      </c>
      <c r="H143" s="6">
        <f>IF(B143="","",IF(G143="-","NEW ITEM",IF(F143=TEXT(G143,"0000000000"),"MATCH","MISMATCH")))</f>
        <v/>
      </c>
      <c r="I143" s="6">
        <f>IF(B143="","",IF(G143="-","-",IF(F143&lt;&gt;TEXT(G143,"0000000000"),"CHECK - HS MISMATCH","-")))</f>
        <v/>
      </c>
    </row>
    <row r="144" ht="15" customHeight="1">
      <c r="A144" s="16">
        <f>IF(INPUT!A144="","",INPUT!A144)</f>
        <v/>
      </c>
      <c r="B144" s="16">
        <f>IF(INPUT!B144="","",INPUT!B144)</f>
        <v/>
      </c>
      <c r="C144" s="16">
        <f>IF(INPUT!D144="","",INPUT!D144)</f>
        <v/>
      </c>
      <c r="D144" s="16">
        <f>IF(INPUT!C144="","",INPUT!C144)</f>
        <v/>
      </c>
      <c r="E144" s="17">
        <f>IF(INPUT!E144="","",INPUT!E144)</f>
        <v/>
      </c>
      <c r="F144" s="17">
        <f>IF(E144="","",TEXT(E144,"0000000000"))</f>
        <v/>
      </c>
      <c r="G144" s="17">
        <f>IF(B144="","",IFERROR(INDEX(DB!$B:$B,MATCH(B144,DB!$A:$A,0)),"-"))</f>
        <v/>
      </c>
      <c r="H144" s="4">
        <f>IF(B144="","",IF(G144="-","NEW ITEM",IF(F144=TEXT(G144,"0000000000"),"MATCH","MISMATCH")))</f>
        <v/>
      </c>
      <c r="I144" s="4">
        <f>IF(B144="","",IF(G144="-","-",IF(F144&lt;&gt;TEXT(G144,"0000000000"),"CHECK - HS MISMATCH","-")))</f>
        <v/>
      </c>
    </row>
    <row r="145" ht="15" customHeight="1">
      <c r="A145" s="14">
        <f>IF(INPUT!A145="","",INPUT!A145)</f>
        <v/>
      </c>
      <c r="B145" s="14">
        <f>IF(INPUT!B145="","",INPUT!B145)</f>
        <v/>
      </c>
      <c r="C145" s="14">
        <f>IF(INPUT!D145="","",INPUT!D145)</f>
        <v/>
      </c>
      <c r="D145" s="14">
        <f>IF(INPUT!C145="","",INPUT!C145)</f>
        <v/>
      </c>
      <c r="E145" s="15">
        <f>IF(INPUT!E145="","",INPUT!E145)</f>
        <v/>
      </c>
      <c r="F145" s="15">
        <f>IF(E145="","",TEXT(E145,"0000000000"))</f>
        <v/>
      </c>
      <c r="G145" s="15">
        <f>IF(B145="","",IFERROR(INDEX(DB!$B:$B,MATCH(B145,DB!$A:$A,0)),"-"))</f>
        <v/>
      </c>
      <c r="H145" s="6">
        <f>IF(B145="","",IF(G145="-","NEW ITEM",IF(F145=TEXT(G145,"0000000000"),"MATCH","MISMATCH")))</f>
        <v/>
      </c>
      <c r="I145" s="6">
        <f>IF(B145="","",IF(G145="-","-",IF(F145&lt;&gt;TEXT(G145,"0000000000"),"CHECK - HS MISMATCH","-")))</f>
        <v/>
      </c>
    </row>
    <row r="146" ht="15" customHeight="1">
      <c r="A146" s="16">
        <f>IF(INPUT!A146="","",INPUT!A146)</f>
        <v/>
      </c>
      <c r="B146" s="16">
        <f>IF(INPUT!B146="","",INPUT!B146)</f>
        <v/>
      </c>
      <c r="C146" s="16">
        <f>IF(INPUT!D146="","",INPUT!D146)</f>
        <v/>
      </c>
      <c r="D146" s="16">
        <f>IF(INPUT!C146="","",INPUT!C146)</f>
        <v/>
      </c>
      <c r="E146" s="17">
        <f>IF(INPUT!E146="","",INPUT!E146)</f>
        <v/>
      </c>
      <c r="F146" s="17">
        <f>IF(E146="","",TEXT(E146,"0000000000"))</f>
        <v/>
      </c>
      <c r="G146" s="17">
        <f>IF(B146="","",IFERROR(INDEX(DB!$B:$B,MATCH(B146,DB!$A:$A,0)),"-"))</f>
        <v/>
      </c>
      <c r="H146" s="4">
        <f>IF(B146="","",IF(G146="-","NEW ITEM",IF(F146=TEXT(G146,"0000000000"),"MATCH","MISMATCH")))</f>
        <v/>
      </c>
      <c r="I146" s="4">
        <f>IF(B146="","",IF(G146="-","-",IF(F146&lt;&gt;TEXT(G146,"0000000000"),"CHECK - HS MISMATCH","-")))</f>
        <v/>
      </c>
    </row>
    <row r="147" ht="15" customHeight="1">
      <c r="A147" s="14">
        <f>IF(INPUT!A147="","",INPUT!A147)</f>
        <v/>
      </c>
      <c r="B147" s="14">
        <f>IF(INPUT!B147="","",INPUT!B147)</f>
        <v/>
      </c>
      <c r="C147" s="14">
        <f>IF(INPUT!D147="","",INPUT!D147)</f>
        <v/>
      </c>
      <c r="D147" s="14">
        <f>IF(INPUT!C147="","",INPUT!C147)</f>
        <v/>
      </c>
      <c r="E147" s="15">
        <f>IF(INPUT!E147="","",INPUT!E147)</f>
        <v/>
      </c>
      <c r="F147" s="15">
        <f>IF(E147="","",TEXT(E147,"0000000000"))</f>
        <v/>
      </c>
      <c r="G147" s="15">
        <f>IF(B147="","",IFERROR(INDEX(DB!$B:$B,MATCH(B147,DB!$A:$A,0)),"-"))</f>
        <v/>
      </c>
      <c r="H147" s="6">
        <f>IF(B147="","",IF(G147="-","NEW ITEM",IF(F147=TEXT(G147,"0000000000"),"MATCH","MISMATCH")))</f>
        <v/>
      </c>
      <c r="I147" s="6">
        <f>IF(B147="","",IF(G147="-","-",IF(F147&lt;&gt;TEXT(G147,"0000000000"),"CHECK - HS MISMATCH","-")))</f>
        <v/>
      </c>
    </row>
    <row r="148" ht="15" customHeight="1">
      <c r="A148" s="16">
        <f>IF(INPUT!A148="","",INPUT!A148)</f>
        <v/>
      </c>
      <c r="B148" s="16">
        <f>IF(INPUT!B148="","",INPUT!B148)</f>
        <v/>
      </c>
      <c r="C148" s="16">
        <f>IF(INPUT!D148="","",INPUT!D148)</f>
        <v/>
      </c>
      <c r="D148" s="16">
        <f>IF(INPUT!C148="","",INPUT!C148)</f>
        <v/>
      </c>
      <c r="E148" s="17">
        <f>IF(INPUT!E148="","",INPUT!E148)</f>
        <v/>
      </c>
      <c r="F148" s="17">
        <f>IF(E148="","",TEXT(E148,"0000000000"))</f>
        <v/>
      </c>
      <c r="G148" s="17">
        <f>IF(B148="","",IFERROR(INDEX(DB!$B:$B,MATCH(B148,DB!$A:$A,0)),"-"))</f>
        <v/>
      </c>
      <c r="H148" s="4">
        <f>IF(B148="","",IF(G148="-","NEW ITEM",IF(F148=TEXT(G148,"0000000000"),"MATCH","MISMATCH")))</f>
        <v/>
      </c>
      <c r="I148" s="4">
        <f>IF(B148="","",IF(G148="-","-",IF(F148&lt;&gt;TEXT(G148,"0000000000"),"CHECK - HS MISMATCH","-")))</f>
        <v/>
      </c>
    </row>
    <row r="149" ht="15" customHeight="1">
      <c r="A149" s="14">
        <f>IF(INPUT!A149="","",INPUT!A149)</f>
        <v/>
      </c>
      <c r="B149" s="14">
        <f>IF(INPUT!B149="","",INPUT!B149)</f>
        <v/>
      </c>
      <c r="C149" s="14">
        <f>IF(INPUT!D149="","",INPUT!D149)</f>
        <v/>
      </c>
      <c r="D149" s="14">
        <f>IF(INPUT!C149="","",INPUT!C149)</f>
        <v/>
      </c>
      <c r="E149" s="15">
        <f>IF(INPUT!E149="","",INPUT!E149)</f>
        <v/>
      </c>
      <c r="F149" s="15">
        <f>IF(E149="","",TEXT(E149,"0000000000"))</f>
        <v/>
      </c>
      <c r="G149" s="15">
        <f>IF(B149="","",IFERROR(INDEX(DB!$B:$B,MATCH(B149,DB!$A:$A,0)),"-"))</f>
        <v/>
      </c>
      <c r="H149" s="6">
        <f>IF(B149="","",IF(G149="-","NEW ITEM",IF(F149=TEXT(G149,"0000000000"),"MATCH","MISMATCH")))</f>
        <v/>
      </c>
      <c r="I149" s="6">
        <f>IF(B149="","",IF(G149="-","-",IF(F149&lt;&gt;TEXT(G149,"0000000000"),"CHECK - HS MISMATCH","-")))</f>
        <v/>
      </c>
    </row>
    <row r="150" ht="15" customHeight="1">
      <c r="A150" s="16">
        <f>IF(INPUT!A150="","",INPUT!A150)</f>
        <v/>
      </c>
      <c r="B150" s="16">
        <f>IF(INPUT!B150="","",INPUT!B150)</f>
        <v/>
      </c>
      <c r="C150" s="16">
        <f>IF(INPUT!D150="","",INPUT!D150)</f>
        <v/>
      </c>
      <c r="D150" s="16">
        <f>IF(INPUT!C150="","",INPUT!C150)</f>
        <v/>
      </c>
      <c r="E150" s="17">
        <f>IF(INPUT!E150="","",INPUT!E150)</f>
        <v/>
      </c>
      <c r="F150" s="17">
        <f>IF(E150="","",TEXT(E150,"0000000000"))</f>
        <v/>
      </c>
      <c r="G150" s="17">
        <f>IF(B150="","",IFERROR(INDEX(DB!$B:$B,MATCH(B150,DB!$A:$A,0)),"-"))</f>
        <v/>
      </c>
      <c r="H150" s="4">
        <f>IF(B150="","",IF(G150="-","NEW ITEM",IF(F150=TEXT(G150,"0000000000"),"MATCH","MISMATCH")))</f>
        <v/>
      </c>
      <c r="I150" s="4">
        <f>IF(B150="","",IF(G150="-","-",IF(F150&lt;&gt;TEXT(G150,"0000000000"),"CHECK - HS MISMATCH","-")))</f>
        <v/>
      </c>
    </row>
    <row r="151" ht="15" customHeight="1">
      <c r="A151" s="14">
        <f>IF(INPUT!A151="","",INPUT!A151)</f>
        <v/>
      </c>
      <c r="B151" s="14">
        <f>IF(INPUT!B151="","",INPUT!B151)</f>
        <v/>
      </c>
      <c r="C151" s="14">
        <f>IF(INPUT!D151="","",INPUT!D151)</f>
        <v/>
      </c>
      <c r="D151" s="14">
        <f>IF(INPUT!C151="","",INPUT!C151)</f>
        <v/>
      </c>
      <c r="E151" s="15">
        <f>IF(INPUT!E151="","",INPUT!E151)</f>
        <v/>
      </c>
      <c r="F151" s="15">
        <f>IF(E151="","",TEXT(E151,"0000000000"))</f>
        <v/>
      </c>
      <c r="G151" s="15">
        <f>IF(B151="","",IFERROR(INDEX(DB!$B:$B,MATCH(B151,DB!$A:$A,0)),"-"))</f>
        <v/>
      </c>
      <c r="H151" s="6">
        <f>IF(B151="","",IF(G151="-","NEW ITEM",IF(F151=TEXT(G151,"0000000000"),"MATCH","MISMATCH")))</f>
        <v/>
      </c>
      <c r="I151" s="6">
        <f>IF(B151="","",IF(G151="-","-",IF(F151&lt;&gt;TEXT(G151,"0000000000"),"CHECK - HS MISMATCH","-")))</f>
        <v/>
      </c>
    </row>
    <row r="152" ht="15" customHeight="1">
      <c r="A152" s="16">
        <f>IF(INPUT!A152="","",INPUT!A152)</f>
        <v/>
      </c>
      <c r="B152" s="16">
        <f>IF(INPUT!B152="","",INPUT!B152)</f>
        <v/>
      </c>
      <c r="C152" s="16">
        <f>IF(INPUT!D152="","",INPUT!D152)</f>
        <v/>
      </c>
      <c r="D152" s="16">
        <f>IF(INPUT!C152="","",INPUT!C152)</f>
        <v/>
      </c>
      <c r="E152" s="17">
        <f>IF(INPUT!E152="","",INPUT!E152)</f>
        <v/>
      </c>
      <c r="F152" s="17">
        <f>IF(E152="","",TEXT(E152,"0000000000"))</f>
        <v/>
      </c>
      <c r="G152" s="17">
        <f>IF(B152="","",IFERROR(INDEX(DB!$B:$B,MATCH(B152,DB!$A:$A,0)),"-"))</f>
        <v/>
      </c>
      <c r="H152" s="4">
        <f>IF(B152="","",IF(G152="-","NEW ITEM",IF(F152=TEXT(G152,"0000000000"),"MATCH","MISMATCH")))</f>
        <v/>
      </c>
      <c r="I152" s="4">
        <f>IF(B152="","",IF(G152="-","-",IF(F152&lt;&gt;TEXT(G152,"0000000000"),"CHECK - HS MISMATCH","-")))</f>
        <v/>
      </c>
    </row>
    <row r="153" ht="15" customHeight="1">
      <c r="A153" s="14">
        <f>IF(INPUT!A153="","",INPUT!A153)</f>
        <v/>
      </c>
      <c r="B153" s="14">
        <f>IF(INPUT!B153="","",INPUT!B153)</f>
        <v/>
      </c>
      <c r="C153" s="14">
        <f>IF(INPUT!D153="","",INPUT!D153)</f>
        <v/>
      </c>
      <c r="D153" s="14">
        <f>IF(INPUT!C153="","",INPUT!C153)</f>
        <v/>
      </c>
      <c r="E153" s="15">
        <f>IF(INPUT!E153="","",INPUT!E153)</f>
        <v/>
      </c>
      <c r="F153" s="15">
        <f>IF(E153="","",TEXT(E153,"0000000000"))</f>
        <v/>
      </c>
      <c r="G153" s="15">
        <f>IF(B153="","",IFERROR(INDEX(DB!$B:$B,MATCH(B153,DB!$A:$A,0)),"-"))</f>
        <v/>
      </c>
      <c r="H153" s="6">
        <f>IF(B153="","",IF(G153="-","NEW ITEM",IF(F153=TEXT(G153,"0000000000"),"MATCH","MISMATCH")))</f>
        <v/>
      </c>
      <c r="I153" s="6">
        <f>IF(B153="","",IF(G153="-","-",IF(F153&lt;&gt;TEXT(G153,"0000000000"),"CHECK - HS MISMATCH","-")))</f>
        <v/>
      </c>
    </row>
    <row r="154" ht="15" customHeight="1">
      <c r="A154" s="16">
        <f>IF(INPUT!A154="","",INPUT!A154)</f>
        <v/>
      </c>
      <c r="B154" s="16">
        <f>IF(INPUT!B154="","",INPUT!B154)</f>
        <v/>
      </c>
      <c r="C154" s="16">
        <f>IF(INPUT!D154="","",INPUT!D154)</f>
        <v/>
      </c>
      <c r="D154" s="16">
        <f>IF(INPUT!C154="","",INPUT!C154)</f>
        <v/>
      </c>
      <c r="E154" s="17">
        <f>IF(INPUT!E154="","",INPUT!E154)</f>
        <v/>
      </c>
      <c r="F154" s="17">
        <f>IF(E154="","",TEXT(E154,"0000000000"))</f>
        <v/>
      </c>
      <c r="G154" s="17">
        <f>IF(B154="","",IFERROR(INDEX(DB!$B:$B,MATCH(B154,DB!$A:$A,0)),"-"))</f>
        <v/>
      </c>
      <c r="H154" s="4">
        <f>IF(B154="","",IF(G154="-","NEW ITEM",IF(F154=TEXT(G154,"0000000000"),"MATCH","MISMATCH")))</f>
        <v/>
      </c>
      <c r="I154" s="4">
        <f>IF(B154="","",IF(G154="-","-",IF(F154&lt;&gt;TEXT(G154,"0000000000"),"CHECK - HS MISMATCH","-")))</f>
        <v/>
      </c>
    </row>
    <row r="155" ht="15" customHeight="1">
      <c r="A155" s="14">
        <f>IF(INPUT!A155="","",INPUT!A155)</f>
        <v/>
      </c>
      <c r="B155" s="14">
        <f>IF(INPUT!B155="","",INPUT!B155)</f>
        <v/>
      </c>
      <c r="C155" s="14">
        <f>IF(INPUT!D155="","",INPUT!D155)</f>
        <v/>
      </c>
      <c r="D155" s="14">
        <f>IF(INPUT!C155="","",INPUT!C155)</f>
        <v/>
      </c>
      <c r="E155" s="15">
        <f>IF(INPUT!E155="","",INPUT!E155)</f>
        <v/>
      </c>
      <c r="F155" s="15">
        <f>IF(E155="","",TEXT(E155,"0000000000"))</f>
        <v/>
      </c>
      <c r="G155" s="15">
        <f>IF(B155="","",IFERROR(INDEX(DB!$B:$B,MATCH(B155,DB!$A:$A,0)),"-"))</f>
        <v/>
      </c>
      <c r="H155" s="6">
        <f>IF(B155="","",IF(G155="-","NEW ITEM",IF(F155=TEXT(G155,"0000000000"),"MATCH","MISMATCH")))</f>
        <v/>
      </c>
      <c r="I155" s="6">
        <f>IF(B155="","",IF(G155="-","-",IF(F155&lt;&gt;TEXT(G155,"0000000000"),"CHECK - HS MISMATCH","-")))</f>
        <v/>
      </c>
    </row>
    <row r="156" ht="15" customHeight="1">
      <c r="A156" s="16">
        <f>IF(INPUT!A156="","",INPUT!A156)</f>
        <v/>
      </c>
      <c r="B156" s="16">
        <f>IF(INPUT!B156="","",INPUT!B156)</f>
        <v/>
      </c>
      <c r="C156" s="16">
        <f>IF(INPUT!D156="","",INPUT!D156)</f>
        <v/>
      </c>
      <c r="D156" s="16">
        <f>IF(INPUT!C156="","",INPUT!C156)</f>
        <v/>
      </c>
      <c r="E156" s="17">
        <f>IF(INPUT!E156="","",INPUT!E156)</f>
        <v/>
      </c>
      <c r="F156" s="17">
        <f>IF(E156="","",TEXT(E156,"0000000000"))</f>
        <v/>
      </c>
      <c r="G156" s="17">
        <f>IF(B156="","",IFERROR(INDEX(DB!$B:$B,MATCH(B156,DB!$A:$A,0)),"-"))</f>
        <v/>
      </c>
      <c r="H156" s="4">
        <f>IF(B156="","",IF(G156="-","NEW ITEM",IF(F156=TEXT(G156,"0000000000"),"MATCH","MISMATCH")))</f>
        <v/>
      </c>
      <c r="I156" s="4">
        <f>IF(B156="","",IF(G156="-","-",IF(F156&lt;&gt;TEXT(G156,"0000000000"),"CHECK - HS MISMATCH","-")))</f>
        <v/>
      </c>
    </row>
    <row r="157" ht="15" customHeight="1">
      <c r="A157" s="14">
        <f>IF(INPUT!A157="","",INPUT!A157)</f>
        <v/>
      </c>
      <c r="B157" s="14">
        <f>IF(INPUT!B157="","",INPUT!B157)</f>
        <v/>
      </c>
      <c r="C157" s="14">
        <f>IF(INPUT!D157="","",INPUT!D157)</f>
        <v/>
      </c>
      <c r="D157" s="14">
        <f>IF(INPUT!C157="","",INPUT!C157)</f>
        <v/>
      </c>
      <c r="E157" s="15">
        <f>IF(INPUT!E157="","",INPUT!E157)</f>
        <v/>
      </c>
      <c r="F157" s="15">
        <f>IF(E157="","",TEXT(E157,"0000000000"))</f>
        <v/>
      </c>
      <c r="G157" s="15">
        <f>IF(B157="","",IFERROR(INDEX(DB!$B:$B,MATCH(B157,DB!$A:$A,0)),"-"))</f>
        <v/>
      </c>
      <c r="H157" s="6">
        <f>IF(B157="","",IF(G157="-","NEW ITEM",IF(F157=TEXT(G157,"0000000000"),"MATCH","MISMATCH")))</f>
        <v/>
      </c>
      <c r="I157" s="6">
        <f>IF(B157="","",IF(G157="-","-",IF(F157&lt;&gt;TEXT(G157,"0000000000"),"CHECK - HS MISMATCH","-")))</f>
        <v/>
      </c>
    </row>
    <row r="158" ht="15" customHeight="1">
      <c r="A158" s="16">
        <f>IF(INPUT!A158="","",INPUT!A158)</f>
        <v/>
      </c>
      <c r="B158" s="16">
        <f>IF(INPUT!B158="","",INPUT!B158)</f>
        <v/>
      </c>
      <c r="C158" s="16">
        <f>IF(INPUT!D158="","",INPUT!D158)</f>
        <v/>
      </c>
      <c r="D158" s="16">
        <f>IF(INPUT!C158="","",INPUT!C158)</f>
        <v/>
      </c>
      <c r="E158" s="17">
        <f>IF(INPUT!E158="","",INPUT!E158)</f>
        <v/>
      </c>
      <c r="F158" s="17">
        <f>IF(E158="","",TEXT(E158,"0000000000"))</f>
        <v/>
      </c>
      <c r="G158" s="17">
        <f>IF(B158="","",IFERROR(INDEX(DB!$B:$B,MATCH(B158,DB!$A:$A,0)),"-"))</f>
        <v/>
      </c>
      <c r="H158" s="4">
        <f>IF(B158="","",IF(G158="-","NEW ITEM",IF(F158=TEXT(G158,"0000000000"),"MATCH","MISMATCH")))</f>
        <v/>
      </c>
      <c r="I158" s="4">
        <f>IF(B158="","",IF(G158="-","-",IF(F158&lt;&gt;TEXT(G158,"0000000000"),"CHECK - HS MISMATCH","-")))</f>
        <v/>
      </c>
    </row>
    <row r="159" ht="15" customHeight="1">
      <c r="A159" s="14">
        <f>IF(INPUT!A159="","",INPUT!A159)</f>
        <v/>
      </c>
      <c r="B159" s="14">
        <f>IF(INPUT!B159="","",INPUT!B159)</f>
        <v/>
      </c>
      <c r="C159" s="14">
        <f>IF(INPUT!D159="","",INPUT!D159)</f>
        <v/>
      </c>
      <c r="D159" s="14">
        <f>IF(INPUT!C159="","",INPUT!C159)</f>
        <v/>
      </c>
      <c r="E159" s="15">
        <f>IF(INPUT!E159="","",INPUT!E159)</f>
        <v/>
      </c>
      <c r="F159" s="15">
        <f>IF(E159="","",TEXT(E159,"0000000000"))</f>
        <v/>
      </c>
      <c r="G159" s="15">
        <f>IF(B159="","",IFERROR(INDEX(DB!$B:$B,MATCH(B159,DB!$A:$A,0)),"-"))</f>
        <v/>
      </c>
      <c r="H159" s="6">
        <f>IF(B159="","",IF(G159="-","NEW ITEM",IF(F159=TEXT(G159,"0000000000"),"MATCH","MISMATCH")))</f>
        <v/>
      </c>
      <c r="I159" s="6">
        <f>IF(B159="","",IF(G159="-","-",IF(F159&lt;&gt;TEXT(G159,"0000000000"),"CHECK - HS MISMATCH","-")))</f>
        <v/>
      </c>
    </row>
    <row r="160" ht="15" customHeight="1">
      <c r="A160" s="16">
        <f>IF(INPUT!A160="","",INPUT!A160)</f>
        <v/>
      </c>
      <c r="B160" s="16">
        <f>IF(INPUT!B160="","",INPUT!B160)</f>
        <v/>
      </c>
      <c r="C160" s="16">
        <f>IF(INPUT!D160="","",INPUT!D160)</f>
        <v/>
      </c>
      <c r="D160" s="16">
        <f>IF(INPUT!C160="","",INPUT!C160)</f>
        <v/>
      </c>
      <c r="E160" s="17">
        <f>IF(INPUT!E160="","",INPUT!E160)</f>
        <v/>
      </c>
      <c r="F160" s="17">
        <f>IF(E160="","",TEXT(E160,"0000000000"))</f>
        <v/>
      </c>
      <c r="G160" s="17">
        <f>IF(B160="","",IFERROR(INDEX(DB!$B:$B,MATCH(B160,DB!$A:$A,0)),"-"))</f>
        <v/>
      </c>
      <c r="H160" s="4">
        <f>IF(B160="","",IF(G160="-","NEW ITEM",IF(F160=TEXT(G160,"0000000000"),"MATCH","MISMATCH")))</f>
        <v/>
      </c>
      <c r="I160" s="4">
        <f>IF(B160="","",IF(G160="-","-",IF(F160&lt;&gt;TEXT(G160,"0000000000"),"CHECK - HS MISMATCH","-")))</f>
        <v/>
      </c>
    </row>
    <row r="161" ht="15" customHeight="1">
      <c r="A161" s="14">
        <f>IF(INPUT!A161="","",INPUT!A161)</f>
        <v/>
      </c>
      <c r="B161" s="14">
        <f>IF(INPUT!B161="","",INPUT!B161)</f>
        <v/>
      </c>
      <c r="C161" s="14">
        <f>IF(INPUT!D161="","",INPUT!D161)</f>
        <v/>
      </c>
      <c r="D161" s="14">
        <f>IF(INPUT!C161="","",INPUT!C161)</f>
        <v/>
      </c>
      <c r="E161" s="15">
        <f>IF(INPUT!E161="","",INPUT!E161)</f>
        <v/>
      </c>
      <c r="F161" s="15">
        <f>IF(E161="","",TEXT(E161,"0000000000"))</f>
        <v/>
      </c>
      <c r="G161" s="15">
        <f>IF(B161="","",IFERROR(INDEX(DB!$B:$B,MATCH(B161,DB!$A:$A,0)),"-"))</f>
        <v/>
      </c>
      <c r="H161" s="6">
        <f>IF(B161="","",IF(G161="-","NEW ITEM",IF(F161=TEXT(G161,"0000000000"),"MATCH","MISMATCH")))</f>
        <v/>
      </c>
      <c r="I161" s="6">
        <f>IF(B161="","",IF(G161="-","-",IF(F161&lt;&gt;TEXT(G161,"0000000000"),"CHECK - HS MISMATCH","-")))</f>
        <v/>
      </c>
    </row>
    <row r="162" ht="15" customHeight="1">
      <c r="A162" s="16">
        <f>IF(INPUT!A162="","",INPUT!A162)</f>
        <v/>
      </c>
      <c r="B162" s="16">
        <f>IF(INPUT!B162="","",INPUT!B162)</f>
        <v/>
      </c>
      <c r="C162" s="16">
        <f>IF(INPUT!D162="","",INPUT!D162)</f>
        <v/>
      </c>
      <c r="D162" s="16">
        <f>IF(INPUT!C162="","",INPUT!C162)</f>
        <v/>
      </c>
      <c r="E162" s="17">
        <f>IF(INPUT!E162="","",INPUT!E162)</f>
        <v/>
      </c>
      <c r="F162" s="17">
        <f>IF(E162="","",TEXT(E162,"0000000000"))</f>
        <v/>
      </c>
      <c r="G162" s="17">
        <f>IF(B162="","",IFERROR(INDEX(DB!$B:$B,MATCH(B162,DB!$A:$A,0)),"-"))</f>
        <v/>
      </c>
      <c r="H162" s="4">
        <f>IF(B162="","",IF(G162="-","NEW ITEM",IF(F162=TEXT(G162,"0000000000"),"MATCH","MISMATCH")))</f>
        <v/>
      </c>
      <c r="I162" s="4">
        <f>IF(B162="","",IF(G162="-","-",IF(F162&lt;&gt;TEXT(G162,"0000000000"),"CHECK - HS MISMATCH","-")))</f>
        <v/>
      </c>
    </row>
    <row r="163" ht="15" customHeight="1">
      <c r="A163" s="14">
        <f>IF(INPUT!A163="","",INPUT!A163)</f>
        <v/>
      </c>
      <c r="B163" s="14">
        <f>IF(INPUT!B163="","",INPUT!B163)</f>
        <v/>
      </c>
      <c r="C163" s="14">
        <f>IF(INPUT!D163="","",INPUT!D163)</f>
        <v/>
      </c>
      <c r="D163" s="14">
        <f>IF(INPUT!C163="","",INPUT!C163)</f>
        <v/>
      </c>
      <c r="E163" s="15">
        <f>IF(INPUT!E163="","",INPUT!E163)</f>
        <v/>
      </c>
      <c r="F163" s="15">
        <f>IF(E163="","",TEXT(E163,"0000000000"))</f>
        <v/>
      </c>
      <c r="G163" s="15">
        <f>IF(B163="","",IFERROR(INDEX(DB!$B:$B,MATCH(B163,DB!$A:$A,0)),"-"))</f>
        <v/>
      </c>
      <c r="H163" s="6">
        <f>IF(B163="","",IF(G163="-","NEW ITEM",IF(F163=TEXT(G163,"0000000000"),"MATCH","MISMATCH")))</f>
        <v/>
      </c>
      <c r="I163" s="6">
        <f>IF(B163="","",IF(G163="-","-",IF(F163&lt;&gt;TEXT(G163,"0000000000"),"CHECK - HS MISMATCH","-")))</f>
        <v/>
      </c>
    </row>
    <row r="164" ht="15" customHeight="1">
      <c r="A164" s="16">
        <f>IF(INPUT!A164="","",INPUT!A164)</f>
        <v/>
      </c>
      <c r="B164" s="16">
        <f>IF(INPUT!B164="","",INPUT!B164)</f>
        <v/>
      </c>
      <c r="C164" s="16">
        <f>IF(INPUT!D164="","",INPUT!D164)</f>
        <v/>
      </c>
      <c r="D164" s="16">
        <f>IF(INPUT!C164="","",INPUT!C164)</f>
        <v/>
      </c>
      <c r="E164" s="17">
        <f>IF(INPUT!E164="","",INPUT!E164)</f>
        <v/>
      </c>
      <c r="F164" s="17">
        <f>IF(E164="","",TEXT(E164,"0000000000"))</f>
        <v/>
      </c>
      <c r="G164" s="17">
        <f>IF(B164="","",IFERROR(INDEX(DB!$B:$B,MATCH(B164,DB!$A:$A,0)),"-"))</f>
        <v/>
      </c>
      <c r="H164" s="4">
        <f>IF(B164="","",IF(G164="-","NEW ITEM",IF(F164=TEXT(G164,"0000000000"),"MATCH","MISMATCH")))</f>
        <v/>
      </c>
      <c r="I164" s="4">
        <f>IF(B164="","",IF(G164="-","-",IF(F164&lt;&gt;TEXT(G164,"0000000000"),"CHECK - HS MISMATCH","-")))</f>
        <v/>
      </c>
    </row>
    <row r="165" ht="15" customHeight="1">
      <c r="A165" s="14">
        <f>IF(INPUT!A165="","",INPUT!A165)</f>
        <v/>
      </c>
      <c r="B165" s="14">
        <f>IF(INPUT!B165="","",INPUT!B165)</f>
        <v/>
      </c>
      <c r="C165" s="14">
        <f>IF(INPUT!D165="","",INPUT!D165)</f>
        <v/>
      </c>
      <c r="D165" s="14">
        <f>IF(INPUT!C165="","",INPUT!C165)</f>
        <v/>
      </c>
      <c r="E165" s="15">
        <f>IF(INPUT!E165="","",INPUT!E165)</f>
        <v/>
      </c>
      <c r="F165" s="15">
        <f>IF(E165="","",TEXT(E165,"0000000000"))</f>
        <v/>
      </c>
      <c r="G165" s="15">
        <f>IF(B165="","",IFERROR(INDEX(DB!$B:$B,MATCH(B165,DB!$A:$A,0)),"-"))</f>
        <v/>
      </c>
      <c r="H165" s="6">
        <f>IF(B165="","",IF(G165="-","NEW ITEM",IF(F165=TEXT(G165,"0000000000"),"MATCH","MISMATCH")))</f>
        <v/>
      </c>
      <c r="I165" s="6">
        <f>IF(B165="","",IF(G165="-","-",IF(F165&lt;&gt;TEXT(G165,"0000000000"),"CHECK - HS MISMATCH","-")))</f>
        <v/>
      </c>
    </row>
    <row r="166" ht="15" customHeight="1">
      <c r="A166" s="16">
        <f>IF(INPUT!A166="","",INPUT!A166)</f>
        <v/>
      </c>
      <c r="B166" s="16">
        <f>IF(INPUT!B166="","",INPUT!B166)</f>
        <v/>
      </c>
      <c r="C166" s="16">
        <f>IF(INPUT!D166="","",INPUT!D166)</f>
        <v/>
      </c>
      <c r="D166" s="16">
        <f>IF(INPUT!C166="","",INPUT!C166)</f>
        <v/>
      </c>
      <c r="E166" s="17">
        <f>IF(INPUT!E166="","",INPUT!E166)</f>
        <v/>
      </c>
      <c r="F166" s="17">
        <f>IF(E166="","",TEXT(E166,"0000000000"))</f>
        <v/>
      </c>
      <c r="G166" s="17">
        <f>IF(B166="","",IFERROR(INDEX(DB!$B:$B,MATCH(B166,DB!$A:$A,0)),"-"))</f>
        <v/>
      </c>
      <c r="H166" s="4">
        <f>IF(B166="","",IF(G166="-","NEW ITEM",IF(F166=TEXT(G166,"0000000000"),"MATCH","MISMATCH")))</f>
        <v/>
      </c>
      <c r="I166" s="4">
        <f>IF(B166="","",IF(G166="-","-",IF(F166&lt;&gt;TEXT(G166,"0000000000"),"CHECK - HS MISMATCH","-")))</f>
        <v/>
      </c>
    </row>
    <row r="167" ht="15" customHeight="1">
      <c r="A167" s="14">
        <f>IF(INPUT!A167="","",INPUT!A167)</f>
        <v/>
      </c>
      <c r="B167" s="14">
        <f>IF(INPUT!B167="","",INPUT!B167)</f>
        <v/>
      </c>
      <c r="C167" s="14">
        <f>IF(INPUT!D167="","",INPUT!D167)</f>
        <v/>
      </c>
      <c r="D167" s="14">
        <f>IF(INPUT!C167="","",INPUT!C167)</f>
        <v/>
      </c>
      <c r="E167" s="15">
        <f>IF(INPUT!E167="","",INPUT!E167)</f>
        <v/>
      </c>
      <c r="F167" s="15">
        <f>IF(E167="","",TEXT(E167,"0000000000"))</f>
        <v/>
      </c>
      <c r="G167" s="15">
        <f>IF(B167="","",IFERROR(INDEX(DB!$B:$B,MATCH(B167,DB!$A:$A,0)),"-"))</f>
        <v/>
      </c>
      <c r="H167" s="6">
        <f>IF(B167="","",IF(G167="-","NEW ITEM",IF(F167=TEXT(G167,"0000000000"),"MATCH","MISMATCH")))</f>
        <v/>
      </c>
      <c r="I167" s="6">
        <f>IF(B167="","",IF(G167="-","-",IF(F167&lt;&gt;TEXT(G167,"0000000000"),"CHECK - HS MISMATCH","-")))</f>
        <v/>
      </c>
    </row>
    <row r="168" ht="15" customHeight="1">
      <c r="A168" s="16">
        <f>IF(INPUT!A168="","",INPUT!A168)</f>
        <v/>
      </c>
      <c r="B168" s="16">
        <f>IF(INPUT!B168="","",INPUT!B168)</f>
        <v/>
      </c>
      <c r="C168" s="16">
        <f>IF(INPUT!D168="","",INPUT!D168)</f>
        <v/>
      </c>
      <c r="D168" s="16">
        <f>IF(INPUT!C168="","",INPUT!C168)</f>
        <v/>
      </c>
      <c r="E168" s="17">
        <f>IF(INPUT!E168="","",INPUT!E168)</f>
        <v/>
      </c>
      <c r="F168" s="17">
        <f>IF(E168="","",TEXT(E168,"0000000000"))</f>
        <v/>
      </c>
      <c r="G168" s="17">
        <f>IF(B168="","",IFERROR(INDEX(DB!$B:$B,MATCH(B168,DB!$A:$A,0)),"-"))</f>
        <v/>
      </c>
      <c r="H168" s="4">
        <f>IF(B168="","",IF(G168="-","NEW ITEM",IF(F168=TEXT(G168,"0000000000"),"MATCH","MISMATCH")))</f>
        <v/>
      </c>
      <c r="I168" s="4">
        <f>IF(B168="","",IF(G168="-","-",IF(F168&lt;&gt;TEXT(G168,"0000000000"),"CHECK - HS MISMATCH","-")))</f>
        <v/>
      </c>
    </row>
    <row r="169" ht="15" customHeight="1">
      <c r="A169" s="14">
        <f>IF(INPUT!A169="","",INPUT!A169)</f>
        <v/>
      </c>
      <c r="B169" s="14">
        <f>IF(INPUT!B169="","",INPUT!B169)</f>
        <v/>
      </c>
      <c r="C169" s="14">
        <f>IF(INPUT!D169="","",INPUT!D169)</f>
        <v/>
      </c>
      <c r="D169" s="14">
        <f>IF(INPUT!C169="","",INPUT!C169)</f>
        <v/>
      </c>
      <c r="E169" s="15">
        <f>IF(INPUT!E169="","",INPUT!E169)</f>
        <v/>
      </c>
      <c r="F169" s="15">
        <f>IF(E169="","",TEXT(E169,"0000000000"))</f>
        <v/>
      </c>
      <c r="G169" s="15">
        <f>IF(B169="","",IFERROR(INDEX(DB!$B:$B,MATCH(B169,DB!$A:$A,0)),"-"))</f>
        <v/>
      </c>
      <c r="H169" s="6">
        <f>IF(B169="","",IF(G169="-","NEW ITEM",IF(F169=TEXT(G169,"0000000000"),"MATCH","MISMATCH")))</f>
        <v/>
      </c>
      <c r="I169" s="6">
        <f>IF(B169="","",IF(G169="-","-",IF(F169&lt;&gt;TEXT(G169,"0000000000"),"CHECK - HS MISMATCH","-")))</f>
        <v/>
      </c>
    </row>
    <row r="170" ht="15" customHeight="1">
      <c r="A170" s="16">
        <f>IF(INPUT!A170="","",INPUT!A170)</f>
        <v/>
      </c>
      <c r="B170" s="16">
        <f>IF(INPUT!B170="","",INPUT!B170)</f>
        <v/>
      </c>
      <c r="C170" s="16">
        <f>IF(INPUT!D170="","",INPUT!D170)</f>
        <v/>
      </c>
      <c r="D170" s="16">
        <f>IF(INPUT!C170="","",INPUT!C170)</f>
        <v/>
      </c>
      <c r="E170" s="17">
        <f>IF(INPUT!E170="","",INPUT!E170)</f>
        <v/>
      </c>
      <c r="F170" s="17">
        <f>IF(E170="","",TEXT(E170,"0000000000"))</f>
        <v/>
      </c>
      <c r="G170" s="17">
        <f>IF(B170="","",IFERROR(INDEX(DB!$B:$B,MATCH(B170,DB!$A:$A,0)),"-"))</f>
        <v/>
      </c>
      <c r="H170" s="4">
        <f>IF(B170="","",IF(G170="-","NEW ITEM",IF(F170=TEXT(G170,"0000000000"),"MATCH","MISMATCH")))</f>
        <v/>
      </c>
      <c r="I170" s="4">
        <f>IF(B170="","",IF(G170="-","-",IF(F170&lt;&gt;TEXT(G170,"0000000000"),"CHECK - HS MISMATCH","-")))</f>
        <v/>
      </c>
    </row>
    <row r="171" ht="15" customHeight="1">
      <c r="A171" s="14">
        <f>IF(INPUT!A171="","",INPUT!A171)</f>
        <v/>
      </c>
      <c r="B171" s="14">
        <f>IF(INPUT!B171="","",INPUT!B171)</f>
        <v/>
      </c>
      <c r="C171" s="14">
        <f>IF(INPUT!D171="","",INPUT!D171)</f>
        <v/>
      </c>
      <c r="D171" s="14">
        <f>IF(INPUT!C171="","",INPUT!C171)</f>
        <v/>
      </c>
      <c r="E171" s="15">
        <f>IF(INPUT!E171="","",INPUT!E171)</f>
        <v/>
      </c>
      <c r="F171" s="15">
        <f>IF(E171="","",TEXT(E171,"0000000000"))</f>
        <v/>
      </c>
      <c r="G171" s="15">
        <f>IF(B171="","",IFERROR(INDEX(DB!$B:$B,MATCH(B171,DB!$A:$A,0)),"-"))</f>
        <v/>
      </c>
      <c r="H171" s="6">
        <f>IF(B171="","",IF(G171="-","NEW ITEM",IF(F171=TEXT(G171,"0000000000"),"MATCH","MISMATCH")))</f>
        <v/>
      </c>
      <c r="I171" s="6">
        <f>IF(B171="","",IF(G171="-","-",IF(F171&lt;&gt;TEXT(G171,"0000000000"),"CHECK - HS MISMATCH","-")))</f>
        <v/>
      </c>
    </row>
    <row r="172" ht="15" customHeight="1">
      <c r="A172" s="16">
        <f>IF(INPUT!A172="","",INPUT!A172)</f>
        <v/>
      </c>
      <c r="B172" s="16">
        <f>IF(INPUT!B172="","",INPUT!B172)</f>
        <v/>
      </c>
      <c r="C172" s="16">
        <f>IF(INPUT!D172="","",INPUT!D172)</f>
        <v/>
      </c>
      <c r="D172" s="16">
        <f>IF(INPUT!C172="","",INPUT!C172)</f>
        <v/>
      </c>
      <c r="E172" s="17">
        <f>IF(INPUT!E172="","",INPUT!E172)</f>
        <v/>
      </c>
      <c r="F172" s="17">
        <f>IF(E172="","",TEXT(E172,"0000000000"))</f>
        <v/>
      </c>
      <c r="G172" s="17">
        <f>IF(B172="","",IFERROR(INDEX(DB!$B:$B,MATCH(B172,DB!$A:$A,0)),"-"))</f>
        <v/>
      </c>
      <c r="H172" s="4">
        <f>IF(B172="","",IF(G172="-","NEW ITEM",IF(F172=TEXT(G172,"0000000000"),"MATCH","MISMATCH")))</f>
        <v/>
      </c>
      <c r="I172" s="4">
        <f>IF(B172="","",IF(G172="-","-",IF(F172&lt;&gt;TEXT(G172,"0000000000"),"CHECK - HS MISMATCH","-")))</f>
        <v/>
      </c>
    </row>
    <row r="173" ht="15" customHeight="1">
      <c r="A173" s="14">
        <f>IF(INPUT!A173="","",INPUT!A173)</f>
        <v/>
      </c>
      <c r="B173" s="14">
        <f>IF(INPUT!B173="","",INPUT!B173)</f>
        <v/>
      </c>
      <c r="C173" s="14">
        <f>IF(INPUT!D173="","",INPUT!D173)</f>
        <v/>
      </c>
      <c r="D173" s="14">
        <f>IF(INPUT!C173="","",INPUT!C173)</f>
        <v/>
      </c>
      <c r="E173" s="15">
        <f>IF(INPUT!E173="","",INPUT!E173)</f>
        <v/>
      </c>
      <c r="F173" s="15">
        <f>IF(E173="","",TEXT(E173,"0000000000"))</f>
        <v/>
      </c>
      <c r="G173" s="15">
        <f>IF(B173="","",IFERROR(INDEX(DB!$B:$B,MATCH(B173,DB!$A:$A,0)),"-"))</f>
        <v/>
      </c>
      <c r="H173" s="6">
        <f>IF(B173="","",IF(G173="-","NEW ITEM",IF(F173=TEXT(G173,"0000000000"),"MATCH","MISMATCH")))</f>
        <v/>
      </c>
      <c r="I173" s="6">
        <f>IF(B173="","",IF(G173="-","-",IF(F173&lt;&gt;TEXT(G173,"0000000000"),"CHECK - HS MISMATCH","-")))</f>
        <v/>
      </c>
    </row>
    <row r="174" ht="15" customHeight="1">
      <c r="A174" s="16">
        <f>IF(INPUT!A174="","",INPUT!A174)</f>
        <v/>
      </c>
      <c r="B174" s="16">
        <f>IF(INPUT!B174="","",INPUT!B174)</f>
        <v/>
      </c>
      <c r="C174" s="16">
        <f>IF(INPUT!D174="","",INPUT!D174)</f>
        <v/>
      </c>
      <c r="D174" s="16">
        <f>IF(INPUT!C174="","",INPUT!C174)</f>
        <v/>
      </c>
      <c r="E174" s="17">
        <f>IF(INPUT!E174="","",INPUT!E174)</f>
        <v/>
      </c>
      <c r="F174" s="17">
        <f>IF(E174="","",TEXT(E174,"0000000000"))</f>
        <v/>
      </c>
      <c r="G174" s="17">
        <f>IF(B174="","",IFERROR(INDEX(DB!$B:$B,MATCH(B174,DB!$A:$A,0)),"-"))</f>
        <v/>
      </c>
      <c r="H174" s="4">
        <f>IF(B174="","",IF(G174="-","NEW ITEM",IF(F174=TEXT(G174,"0000000000"),"MATCH","MISMATCH")))</f>
        <v/>
      </c>
      <c r="I174" s="4">
        <f>IF(B174="","",IF(G174="-","-",IF(F174&lt;&gt;TEXT(G174,"0000000000"),"CHECK - HS MISMATCH","-")))</f>
        <v/>
      </c>
    </row>
    <row r="175" ht="15" customHeight="1">
      <c r="A175" s="14">
        <f>IF(INPUT!A175="","",INPUT!A175)</f>
        <v/>
      </c>
      <c r="B175" s="14">
        <f>IF(INPUT!B175="","",INPUT!B175)</f>
        <v/>
      </c>
      <c r="C175" s="14">
        <f>IF(INPUT!D175="","",INPUT!D175)</f>
        <v/>
      </c>
      <c r="D175" s="14">
        <f>IF(INPUT!C175="","",INPUT!C175)</f>
        <v/>
      </c>
      <c r="E175" s="15">
        <f>IF(INPUT!E175="","",INPUT!E175)</f>
        <v/>
      </c>
      <c r="F175" s="15">
        <f>IF(E175="","",TEXT(E175,"0000000000"))</f>
        <v/>
      </c>
      <c r="G175" s="15">
        <f>IF(B175="","",IFERROR(INDEX(DB!$B:$B,MATCH(B175,DB!$A:$A,0)),"-"))</f>
        <v/>
      </c>
      <c r="H175" s="6">
        <f>IF(B175="","",IF(G175="-","NEW ITEM",IF(F175=TEXT(G175,"0000000000"),"MATCH","MISMATCH")))</f>
        <v/>
      </c>
      <c r="I175" s="6">
        <f>IF(B175="","",IF(G175="-","-",IF(F175&lt;&gt;TEXT(G175,"0000000000"),"CHECK - HS MISMATCH","-")))</f>
        <v/>
      </c>
    </row>
    <row r="176" ht="15" customHeight="1">
      <c r="A176" s="16">
        <f>IF(INPUT!A176="","",INPUT!A176)</f>
        <v/>
      </c>
      <c r="B176" s="16">
        <f>IF(INPUT!B176="","",INPUT!B176)</f>
        <v/>
      </c>
      <c r="C176" s="16">
        <f>IF(INPUT!D176="","",INPUT!D176)</f>
        <v/>
      </c>
      <c r="D176" s="16">
        <f>IF(INPUT!C176="","",INPUT!C176)</f>
        <v/>
      </c>
      <c r="E176" s="17">
        <f>IF(INPUT!E176="","",INPUT!E176)</f>
        <v/>
      </c>
      <c r="F176" s="17">
        <f>IF(E176="","",TEXT(E176,"0000000000"))</f>
        <v/>
      </c>
      <c r="G176" s="17">
        <f>IF(B176="","",IFERROR(INDEX(DB!$B:$B,MATCH(B176,DB!$A:$A,0)),"-"))</f>
        <v/>
      </c>
      <c r="H176" s="4">
        <f>IF(B176="","",IF(G176="-","NEW ITEM",IF(F176=TEXT(G176,"0000000000"),"MATCH","MISMATCH")))</f>
        <v/>
      </c>
      <c r="I176" s="4">
        <f>IF(B176="","",IF(G176="-","-",IF(F176&lt;&gt;TEXT(G176,"0000000000"),"CHECK - HS MISMATCH","-")))</f>
        <v/>
      </c>
    </row>
    <row r="177" ht="15" customHeight="1">
      <c r="A177" s="14">
        <f>IF(INPUT!A177="","",INPUT!A177)</f>
        <v/>
      </c>
      <c r="B177" s="14">
        <f>IF(INPUT!B177="","",INPUT!B177)</f>
        <v/>
      </c>
      <c r="C177" s="14">
        <f>IF(INPUT!D177="","",INPUT!D177)</f>
        <v/>
      </c>
      <c r="D177" s="14">
        <f>IF(INPUT!C177="","",INPUT!C177)</f>
        <v/>
      </c>
      <c r="E177" s="15">
        <f>IF(INPUT!E177="","",INPUT!E177)</f>
        <v/>
      </c>
      <c r="F177" s="15">
        <f>IF(E177="","",TEXT(E177,"0000000000"))</f>
        <v/>
      </c>
      <c r="G177" s="15">
        <f>IF(B177="","",IFERROR(INDEX(DB!$B:$B,MATCH(B177,DB!$A:$A,0)),"-"))</f>
        <v/>
      </c>
      <c r="H177" s="6">
        <f>IF(B177="","",IF(G177="-","NEW ITEM",IF(F177=TEXT(G177,"0000000000"),"MATCH","MISMATCH")))</f>
        <v/>
      </c>
      <c r="I177" s="6">
        <f>IF(B177="","",IF(G177="-","-",IF(F177&lt;&gt;TEXT(G177,"0000000000"),"CHECK - HS MISMATCH","-")))</f>
        <v/>
      </c>
    </row>
    <row r="178" ht="15" customHeight="1">
      <c r="A178" s="16">
        <f>IF(INPUT!A178="","",INPUT!A178)</f>
        <v/>
      </c>
      <c r="B178" s="16">
        <f>IF(INPUT!B178="","",INPUT!B178)</f>
        <v/>
      </c>
      <c r="C178" s="16">
        <f>IF(INPUT!D178="","",INPUT!D178)</f>
        <v/>
      </c>
      <c r="D178" s="16">
        <f>IF(INPUT!C178="","",INPUT!C178)</f>
        <v/>
      </c>
      <c r="E178" s="17">
        <f>IF(INPUT!E178="","",INPUT!E178)</f>
        <v/>
      </c>
      <c r="F178" s="17">
        <f>IF(E178="","",TEXT(E178,"0000000000"))</f>
        <v/>
      </c>
      <c r="G178" s="17">
        <f>IF(B178="","",IFERROR(INDEX(DB!$B:$B,MATCH(B178,DB!$A:$A,0)),"-"))</f>
        <v/>
      </c>
      <c r="H178" s="4">
        <f>IF(B178="","",IF(G178="-","NEW ITEM",IF(F178=TEXT(G178,"0000000000"),"MATCH","MISMATCH")))</f>
        <v/>
      </c>
      <c r="I178" s="4">
        <f>IF(B178="","",IF(G178="-","-",IF(F178&lt;&gt;TEXT(G178,"0000000000"),"CHECK - HS MISMATCH","-")))</f>
        <v/>
      </c>
    </row>
    <row r="179" ht="15" customHeight="1">
      <c r="A179" s="14">
        <f>IF(INPUT!A179="","",INPUT!A179)</f>
        <v/>
      </c>
      <c r="B179" s="14">
        <f>IF(INPUT!B179="","",INPUT!B179)</f>
        <v/>
      </c>
      <c r="C179" s="14">
        <f>IF(INPUT!D179="","",INPUT!D179)</f>
        <v/>
      </c>
      <c r="D179" s="14">
        <f>IF(INPUT!C179="","",INPUT!C179)</f>
        <v/>
      </c>
      <c r="E179" s="15">
        <f>IF(INPUT!E179="","",INPUT!E179)</f>
        <v/>
      </c>
      <c r="F179" s="15">
        <f>IF(E179="","",TEXT(E179,"0000000000"))</f>
        <v/>
      </c>
      <c r="G179" s="15">
        <f>IF(B179="","",IFERROR(INDEX(DB!$B:$B,MATCH(B179,DB!$A:$A,0)),"-"))</f>
        <v/>
      </c>
      <c r="H179" s="6">
        <f>IF(B179="","",IF(G179="-","NEW ITEM",IF(F179=TEXT(G179,"0000000000"),"MATCH","MISMATCH")))</f>
        <v/>
      </c>
      <c r="I179" s="6">
        <f>IF(B179="","",IF(G179="-","-",IF(F179&lt;&gt;TEXT(G179,"0000000000"),"CHECK - HS MISMATCH","-")))</f>
        <v/>
      </c>
    </row>
    <row r="180" ht="15" customHeight="1">
      <c r="A180" s="16">
        <f>IF(INPUT!A180="","",INPUT!A180)</f>
        <v/>
      </c>
      <c r="B180" s="16">
        <f>IF(INPUT!B180="","",INPUT!B180)</f>
        <v/>
      </c>
      <c r="C180" s="16">
        <f>IF(INPUT!D180="","",INPUT!D180)</f>
        <v/>
      </c>
      <c r="D180" s="16">
        <f>IF(INPUT!C180="","",INPUT!C180)</f>
        <v/>
      </c>
      <c r="E180" s="17">
        <f>IF(INPUT!E180="","",INPUT!E180)</f>
        <v/>
      </c>
      <c r="F180" s="17">
        <f>IF(E180="","",TEXT(E180,"0000000000"))</f>
        <v/>
      </c>
      <c r="G180" s="17">
        <f>IF(B180="","",IFERROR(INDEX(DB!$B:$B,MATCH(B180,DB!$A:$A,0)),"-"))</f>
        <v/>
      </c>
      <c r="H180" s="4">
        <f>IF(B180="","",IF(G180="-","NEW ITEM",IF(F180=TEXT(G180,"0000000000"),"MATCH","MISMATCH")))</f>
        <v/>
      </c>
      <c r="I180" s="4">
        <f>IF(B180="","",IF(G180="-","-",IF(F180&lt;&gt;TEXT(G180,"0000000000"),"CHECK - HS MISMATCH","-")))</f>
        <v/>
      </c>
    </row>
    <row r="181" ht="15" customHeight="1">
      <c r="A181" s="14">
        <f>IF(INPUT!A181="","",INPUT!A181)</f>
        <v/>
      </c>
      <c r="B181" s="14">
        <f>IF(INPUT!B181="","",INPUT!B181)</f>
        <v/>
      </c>
      <c r="C181" s="14">
        <f>IF(INPUT!D181="","",INPUT!D181)</f>
        <v/>
      </c>
      <c r="D181" s="14">
        <f>IF(INPUT!C181="","",INPUT!C181)</f>
        <v/>
      </c>
      <c r="E181" s="15">
        <f>IF(INPUT!E181="","",INPUT!E181)</f>
        <v/>
      </c>
      <c r="F181" s="15">
        <f>IF(E181="","",TEXT(E181,"0000000000"))</f>
        <v/>
      </c>
      <c r="G181" s="15">
        <f>IF(B181="","",IFERROR(INDEX(DB!$B:$B,MATCH(B181,DB!$A:$A,0)),"-"))</f>
        <v/>
      </c>
      <c r="H181" s="6">
        <f>IF(B181="","",IF(G181="-","NEW ITEM",IF(F181=TEXT(G181,"0000000000"),"MATCH","MISMATCH")))</f>
        <v/>
      </c>
      <c r="I181" s="6">
        <f>IF(B181="","",IF(G181="-","-",IF(F181&lt;&gt;TEXT(G181,"0000000000"),"CHECK - HS MISMATCH","-")))</f>
        <v/>
      </c>
    </row>
    <row r="182" ht="15" customHeight="1">
      <c r="A182" s="16">
        <f>IF(INPUT!A182="","",INPUT!A182)</f>
        <v/>
      </c>
      <c r="B182" s="16">
        <f>IF(INPUT!B182="","",INPUT!B182)</f>
        <v/>
      </c>
      <c r="C182" s="16">
        <f>IF(INPUT!D182="","",INPUT!D182)</f>
        <v/>
      </c>
      <c r="D182" s="16">
        <f>IF(INPUT!C182="","",INPUT!C182)</f>
        <v/>
      </c>
      <c r="E182" s="17">
        <f>IF(INPUT!E182="","",INPUT!E182)</f>
        <v/>
      </c>
      <c r="F182" s="17">
        <f>IF(E182="","",TEXT(E182,"0000000000"))</f>
        <v/>
      </c>
      <c r="G182" s="17">
        <f>IF(B182="","",IFERROR(INDEX(DB!$B:$B,MATCH(B182,DB!$A:$A,0)),"-"))</f>
        <v/>
      </c>
      <c r="H182" s="4">
        <f>IF(B182="","",IF(G182="-","NEW ITEM",IF(F182=TEXT(G182,"0000000000"),"MATCH","MISMATCH")))</f>
        <v/>
      </c>
      <c r="I182" s="4">
        <f>IF(B182="","",IF(G182="-","-",IF(F182&lt;&gt;TEXT(G182,"0000000000"),"CHECK - HS MISMATCH","-")))</f>
        <v/>
      </c>
    </row>
    <row r="183" ht="15" customHeight="1">
      <c r="A183" s="14">
        <f>IF(INPUT!A183="","",INPUT!A183)</f>
        <v/>
      </c>
      <c r="B183" s="14">
        <f>IF(INPUT!B183="","",INPUT!B183)</f>
        <v/>
      </c>
      <c r="C183" s="14">
        <f>IF(INPUT!D183="","",INPUT!D183)</f>
        <v/>
      </c>
      <c r="D183" s="14">
        <f>IF(INPUT!C183="","",INPUT!C183)</f>
        <v/>
      </c>
      <c r="E183" s="15">
        <f>IF(INPUT!E183="","",INPUT!E183)</f>
        <v/>
      </c>
      <c r="F183" s="15">
        <f>IF(E183="","",TEXT(E183,"0000000000"))</f>
        <v/>
      </c>
      <c r="G183" s="15">
        <f>IF(B183="","",IFERROR(INDEX(DB!$B:$B,MATCH(B183,DB!$A:$A,0)),"-"))</f>
        <v/>
      </c>
      <c r="H183" s="6">
        <f>IF(B183="","",IF(G183="-","NEW ITEM",IF(F183=TEXT(G183,"0000000000"),"MATCH","MISMATCH")))</f>
        <v/>
      </c>
      <c r="I183" s="6">
        <f>IF(B183="","",IF(G183="-","-",IF(F183&lt;&gt;TEXT(G183,"0000000000"),"CHECK - HS MISMATCH","-")))</f>
        <v/>
      </c>
    </row>
    <row r="184" ht="15" customHeight="1">
      <c r="A184" s="16">
        <f>IF(INPUT!A184="","",INPUT!A184)</f>
        <v/>
      </c>
      <c r="B184" s="16">
        <f>IF(INPUT!B184="","",INPUT!B184)</f>
        <v/>
      </c>
      <c r="C184" s="16">
        <f>IF(INPUT!D184="","",INPUT!D184)</f>
        <v/>
      </c>
      <c r="D184" s="16">
        <f>IF(INPUT!C184="","",INPUT!C184)</f>
        <v/>
      </c>
      <c r="E184" s="17">
        <f>IF(INPUT!E184="","",INPUT!E184)</f>
        <v/>
      </c>
      <c r="F184" s="17">
        <f>IF(E184="","",TEXT(E184,"0000000000"))</f>
        <v/>
      </c>
      <c r="G184" s="17">
        <f>IF(B184="","",IFERROR(INDEX(DB!$B:$B,MATCH(B184,DB!$A:$A,0)),"-"))</f>
        <v/>
      </c>
      <c r="H184" s="4">
        <f>IF(B184="","",IF(G184="-","NEW ITEM",IF(F184=TEXT(G184,"0000000000"),"MATCH","MISMATCH")))</f>
        <v/>
      </c>
      <c r="I184" s="4">
        <f>IF(B184="","",IF(G184="-","-",IF(F184&lt;&gt;TEXT(G184,"0000000000"),"CHECK - HS MISMATCH","-")))</f>
        <v/>
      </c>
    </row>
    <row r="185" ht="15" customHeight="1">
      <c r="A185" s="14">
        <f>IF(INPUT!A185="","",INPUT!A185)</f>
        <v/>
      </c>
      <c r="B185" s="14">
        <f>IF(INPUT!B185="","",INPUT!B185)</f>
        <v/>
      </c>
      <c r="C185" s="14">
        <f>IF(INPUT!D185="","",INPUT!D185)</f>
        <v/>
      </c>
      <c r="D185" s="14">
        <f>IF(INPUT!C185="","",INPUT!C185)</f>
        <v/>
      </c>
      <c r="E185" s="15">
        <f>IF(INPUT!E185="","",INPUT!E185)</f>
        <v/>
      </c>
      <c r="F185" s="15">
        <f>IF(E185="","",TEXT(E185,"0000000000"))</f>
        <v/>
      </c>
      <c r="G185" s="15">
        <f>IF(B185="","",IFERROR(INDEX(DB!$B:$B,MATCH(B185,DB!$A:$A,0)),"-"))</f>
        <v/>
      </c>
      <c r="H185" s="6">
        <f>IF(B185="","",IF(G185="-","NEW ITEM",IF(F185=TEXT(G185,"0000000000"),"MATCH","MISMATCH")))</f>
        <v/>
      </c>
      <c r="I185" s="6">
        <f>IF(B185="","",IF(G185="-","-",IF(F185&lt;&gt;TEXT(G185,"0000000000"),"CHECK - HS MISMATCH","-")))</f>
        <v/>
      </c>
    </row>
    <row r="186" ht="15" customHeight="1">
      <c r="A186" s="16">
        <f>IF(INPUT!A186="","",INPUT!A186)</f>
        <v/>
      </c>
      <c r="B186" s="16">
        <f>IF(INPUT!B186="","",INPUT!B186)</f>
        <v/>
      </c>
      <c r="C186" s="16">
        <f>IF(INPUT!D186="","",INPUT!D186)</f>
        <v/>
      </c>
      <c r="D186" s="16">
        <f>IF(INPUT!C186="","",INPUT!C186)</f>
        <v/>
      </c>
      <c r="E186" s="17">
        <f>IF(INPUT!E186="","",INPUT!E186)</f>
        <v/>
      </c>
      <c r="F186" s="17">
        <f>IF(E186="","",TEXT(E186,"0000000000"))</f>
        <v/>
      </c>
      <c r="G186" s="17">
        <f>IF(B186="","",IFERROR(INDEX(DB!$B:$B,MATCH(B186,DB!$A:$A,0)),"-"))</f>
        <v/>
      </c>
      <c r="H186" s="4">
        <f>IF(B186="","",IF(G186="-","NEW ITEM",IF(F186=TEXT(G186,"0000000000"),"MATCH","MISMATCH")))</f>
        <v/>
      </c>
      <c r="I186" s="4">
        <f>IF(B186="","",IF(G186="-","-",IF(F186&lt;&gt;TEXT(G186,"0000000000"),"CHECK - HS MISMATCH","-")))</f>
        <v/>
      </c>
    </row>
    <row r="187" ht="15" customHeight="1">
      <c r="A187" s="14">
        <f>IF(INPUT!A187="","",INPUT!A187)</f>
        <v/>
      </c>
      <c r="B187" s="14">
        <f>IF(INPUT!B187="","",INPUT!B187)</f>
        <v/>
      </c>
      <c r="C187" s="14">
        <f>IF(INPUT!D187="","",INPUT!D187)</f>
        <v/>
      </c>
      <c r="D187" s="14">
        <f>IF(INPUT!C187="","",INPUT!C187)</f>
        <v/>
      </c>
      <c r="E187" s="15">
        <f>IF(INPUT!E187="","",INPUT!E187)</f>
        <v/>
      </c>
      <c r="F187" s="15">
        <f>IF(E187="","",TEXT(E187,"0000000000"))</f>
        <v/>
      </c>
      <c r="G187" s="15">
        <f>IF(B187="","",IFERROR(INDEX(DB!$B:$B,MATCH(B187,DB!$A:$A,0)),"-"))</f>
        <v/>
      </c>
      <c r="H187" s="6">
        <f>IF(B187="","",IF(G187="-","NEW ITEM",IF(F187=TEXT(G187,"0000000000"),"MATCH","MISMATCH")))</f>
        <v/>
      </c>
      <c r="I187" s="6">
        <f>IF(B187="","",IF(G187="-","-",IF(F187&lt;&gt;TEXT(G187,"0000000000"),"CHECK - HS MISMATCH","-")))</f>
        <v/>
      </c>
    </row>
    <row r="188" ht="15" customHeight="1">
      <c r="A188" s="16">
        <f>IF(INPUT!A188="","",INPUT!A188)</f>
        <v/>
      </c>
      <c r="B188" s="16">
        <f>IF(INPUT!B188="","",INPUT!B188)</f>
        <v/>
      </c>
      <c r="C188" s="16">
        <f>IF(INPUT!D188="","",INPUT!D188)</f>
        <v/>
      </c>
      <c r="D188" s="16">
        <f>IF(INPUT!C188="","",INPUT!C188)</f>
        <v/>
      </c>
      <c r="E188" s="17">
        <f>IF(INPUT!E188="","",INPUT!E188)</f>
        <v/>
      </c>
      <c r="F188" s="17">
        <f>IF(E188="","",TEXT(E188,"0000000000"))</f>
        <v/>
      </c>
      <c r="G188" s="17">
        <f>IF(B188="","",IFERROR(INDEX(DB!$B:$B,MATCH(B188,DB!$A:$A,0)),"-"))</f>
        <v/>
      </c>
      <c r="H188" s="4">
        <f>IF(B188="","",IF(G188="-","NEW ITEM",IF(F188=TEXT(G188,"0000000000"),"MATCH","MISMATCH")))</f>
        <v/>
      </c>
      <c r="I188" s="4">
        <f>IF(B188="","",IF(G188="-","-",IF(F188&lt;&gt;TEXT(G188,"0000000000"),"CHECK - HS MISMATCH","-")))</f>
        <v/>
      </c>
    </row>
    <row r="189" ht="15" customHeight="1">
      <c r="A189" s="14">
        <f>IF(INPUT!A189="","",INPUT!A189)</f>
        <v/>
      </c>
      <c r="B189" s="14">
        <f>IF(INPUT!B189="","",INPUT!B189)</f>
        <v/>
      </c>
      <c r="C189" s="14">
        <f>IF(INPUT!D189="","",INPUT!D189)</f>
        <v/>
      </c>
      <c r="D189" s="14">
        <f>IF(INPUT!C189="","",INPUT!C189)</f>
        <v/>
      </c>
      <c r="E189" s="15">
        <f>IF(INPUT!E189="","",INPUT!E189)</f>
        <v/>
      </c>
      <c r="F189" s="15">
        <f>IF(E189="","",TEXT(E189,"0000000000"))</f>
        <v/>
      </c>
      <c r="G189" s="15">
        <f>IF(B189="","",IFERROR(INDEX(DB!$B:$B,MATCH(B189,DB!$A:$A,0)),"-"))</f>
        <v/>
      </c>
      <c r="H189" s="6">
        <f>IF(B189="","",IF(G189="-","NEW ITEM",IF(F189=TEXT(G189,"0000000000"),"MATCH","MISMATCH")))</f>
        <v/>
      </c>
      <c r="I189" s="6">
        <f>IF(B189="","",IF(G189="-","-",IF(F189&lt;&gt;TEXT(G189,"0000000000"),"CHECK - HS MISMATCH","-")))</f>
        <v/>
      </c>
    </row>
    <row r="190" ht="15" customHeight="1">
      <c r="A190" s="16">
        <f>IF(INPUT!A190="","",INPUT!A190)</f>
        <v/>
      </c>
      <c r="B190" s="16">
        <f>IF(INPUT!B190="","",INPUT!B190)</f>
        <v/>
      </c>
      <c r="C190" s="16">
        <f>IF(INPUT!D190="","",INPUT!D190)</f>
        <v/>
      </c>
      <c r="D190" s="16">
        <f>IF(INPUT!C190="","",INPUT!C190)</f>
        <v/>
      </c>
      <c r="E190" s="17">
        <f>IF(INPUT!E190="","",INPUT!E190)</f>
        <v/>
      </c>
      <c r="F190" s="17">
        <f>IF(E190="","",TEXT(E190,"0000000000"))</f>
        <v/>
      </c>
      <c r="G190" s="17">
        <f>IF(B190="","",IFERROR(INDEX(DB!$B:$B,MATCH(B190,DB!$A:$A,0)),"-"))</f>
        <v/>
      </c>
      <c r="H190" s="4">
        <f>IF(B190="","",IF(G190="-","NEW ITEM",IF(F190=TEXT(G190,"0000000000"),"MATCH","MISMATCH")))</f>
        <v/>
      </c>
      <c r="I190" s="4">
        <f>IF(B190="","",IF(G190="-","-",IF(F190&lt;&gt;TEXT(G190,"0000000000"),"CHECK - HS MISMATCH","-")))</f>
        <v/>
      </c>
    </row>
    <row r="191" ht="15" customHeight="1">
      <c r="A191" s="14">
        <f>IF(INPUT!A191="","",INPUT!A191)</f>
        <v/>
      </c>
      <c r="B191" s="14">
        <f>IF(INPUT!B191="","",INPUT!B191)</f>
        <v/>
      </c>
      <c r="C191" s="14">
        <f>IF(INPUT!D191="","",INPUT!D191)</f>
        <v/>
      </c>
      <c r="D191" s="14">
        <f>IF(INPUT!C191="","",INPUT!C191)</f>
        <v/>
      </c>
      <c r="E191" s="15">
        <f>IF(INPUT!E191="","",INPUT!E191)</f>
        <v/>
      </c>
      <c r="F191" s="15">
        <f>IF(E191="","",TEXT(E191,"0000000000"))</f>
        <v/>
      </c>
      <c r="G191" s="15">
        <f>IF(B191="","",IFERROR(INDEX(DB!$B:$B,MATCH(B191,DB!$A:$A,0)),"-"))</f>
        <v/>
      </c>
      <c r="H191" s="6">
        <f>IF(B191="","",IF(G191="-","NEW ITEM",IF(F191=TEXT(G191,"0000000000"),"MATCH","MISMATCH")))</f>
        <v/>
      </c>
      <c r="I191" s="6">
        <f>IF(B191="","",IF(G191="-","-",IF(F191&lt;&gt;TEXT(G191,"0000000000"),"CHECK - HS MISMATCH","-")))</f>
        <v/>
      </c>
    </row>
    <row r="192" ht="15" customHeight="1">
      <c r="A192" s="16">
        <f>IF(INPUT!A192="","",INPUT!A192)</f>
        <v/>
      </c>
      <c r="B192" s="16">
        <f>IF(INPUT!B192="","",INPUT!B192)</f>
        <v/>
      </c>
      <c r="C192" s="16">
        <f>IF(INPUT!D192="","",INPUT!D192)</f>
        <v/>
      </c>
      <c r="D192" s="16">
        <f>IF(INPUT!C192="","",INPUT!C192)</f>
        <v/>
      </c>
      <c r="E192" s="17">
        <f>IF(INPUT!E192="","",INPUT!E192)</f>
        <v/>
      </c>
      <c r="F192" s="17">
        <f>IF(E192="","",TEXT(E192,"0000000000"))</f>
        <v/>
      </c>
      <c r="G192" s="17">
        <f>IF(B192="","",IFERROR(INDEX(DB!$B:$B,MATCH(B192,DB!$A:$A,0)),"-"))</f>
        <v/>
      </c>
      <c r="H192" s="4">
        <f>IF(B192="","",IF(G192="-","NEW ITEM",IF(F192=TEXT(G192,"0000000000"),"MATCH","MISMATCH")))</f>
        <v/>
      </c>
      <c r="I192" s="4">
        <f>IF(B192="","",IF(G192="-","-",IF(F192&lt;&gt;TEXT(G192,"0000000000"),"CHECK - HS MISMATCH","-")))</f>
        <v/>
      </c>
    </row>
    <row r="193" ht="15" customHeight="1">
      <c r="A193" s="14">
        <f>IF(INPUT!A193="","",INPUT!A193)</f>
        <v/>
      </c>
      <c r="B193" s="14">
        <f>IF(INPUT!B193="","",INPUT!B193)</f>
        <v/>
      </c>
      <c r="C193" s="14">
        <f>IF(INPUT!D193="","",INPUT!D193)</f>
        <v/>
      </c>
      <c r="D193" s="14">
        <f>IF(INPUT!C193="","",INPUT!C193)</f>
        <v/>
      </c>
      <c r="E193" s="15">
        <f>IF(INPUT!E193="","",INPUT!E193)</f>
        <v/>
      </c>
      <c r="F193" s="15">
        <f>IF(E193="","",TEXT(E193,"0000000000"))</f>
        <v/>
      </c>
      <c r="G193" s="15">
        <f>IF(B193="","",IFERROR(INDEX(DB!$B:$B,MATCH(B193,DB!$A:$A,0)),"-"))</f>
        <v/>
      </c>
      <c r="H193" s="6">
        <f>IF(B193="","",IF(G193="-","NEW ITEM",IF(F193=TEXT(G193,"0000000000"),"MATCH","MISMATCH")))</f>
        <v/>
      </c>
      <c r="I193" s="6">
        <f>IF(B193="","",IF(G193="-","-",IF(F193&lt;&gt;TEXT(G193,"0000000000"),"CHECK - HS MISMATCH","-")))</f>
        <v/>
      </c>
    </row>
    <row r="194" ht="15" customHeight="1">
      <c r="A194" s="16">
        <f>IF(INPUT!A194="","",INPUT!A194)</f>
        <v/>
      </c>
      <c r="B194" s="16">
        <f>IF(INPUT!B194="","",INPUT!B194)</f>
        <v/>
      </c>
      <c r="C194" s="16">
        <f>IF(INPUT!D194="","",INPUT!D194)</f>
        <v/>
      </c>
      <c r="D194" s="16">
        <f>IF(INPUT!C194="","",INPUT!C194)</f>
        <v/>
      </c>
      <c r="E194" s="17">
        <f>IF(INPUT!E194="","",INPUT!E194)</f>
        <v/>
      </c>
      <c r="F194" s="17">
        <f>IF(E194="","",TEXT(E194,"0000000000"))</f>
        <v/>
      </c>
      <c r="G194" s="17">
        <f>IF(B194="","",IFERROR(INDEX(DB!$B:$B,MATCH(B194,DB!$A:$A,0)),"-"))</f>
        <v/>
      </c>
      <c r="H194" s="4">
        <f>IF(B194="","",IF(G194="-","NEW ITEM",IF(F194=TEXT(G194,"0000000000"),"MATCH","MISMATCH")))</f>
        <v/>
      </c>
      <c r="I194" s="4">
        <f>IF(B194="","",IF(G194="-","-",IF(F194&lt;&gt;TEXT(G194,"0000000000"),"CHECK - HS MISMATCH","-")))</f>
        <v/>
      </c>
    </row>
    <row r="195" ht="15" customHeight="1">
      <c r="A195" s="14">
        <f>IF(INPUT!A195="","",INPUT!A195)</f>
        <v/>
      </c>
      <c r="B195" s="14">
        <f>IF(INPUT!B195="","",INPUT!B195)</f>
        <v/>
      </c>
      <c r="C195" s="14">
        <f>IF(INPUT!D195="","",INPUT!D195)</f>
        <v/>
      </c>
      <c r="D195" s="14">
        <f>IF(INPUT!C195="","",INPUT!C195)</f>
        <v/>
      </c>
      <c r="E195" s="15">
        <f>IF(INPUT!E195="","",INPUT!E195)</f>
        <v/>
      </c>
      <c r="F195" s="15">
        <f>IF(E195="","",TEXT(E195,"0000000000"))</f>
        <v/>
      </c>
      <c r="G195" s="15">
        <f>IF(B195="","",IFERROR(INDEX(DB!$B:$B,MATCH(B195,DB!$A:$A,0)),"-"))</f>
        <v/>
      </c>
      <c r="H195" s="6">
        <f>IF(B195="","",IF(G195="-","NEW ITEM",IF(F195=TEXT(G195,"0000000000"),"MATCH","MISMATCH")))</f>
        <v/>
      </c>
      <c r="I195" s="6">
        <f>IF(B195="","",IF(G195="-","-",IF(F195&lt;&gt;TEXT(G195,"0000000000"),"CHECK - HS MISMATCH","-")))</f>
        <v/>
      </c>
    </row>
    <row r="196" ht="15" customHeight="1">
      <c r="A196" s="16">
        <f>IF(INPUT!A196="","",INPUT!A196)</f>
        <v/>
      </c>
      <c r="B196" s="16">
        <f>IF(INPUT!B196="","",INPUT!B196)</f>
        <v/>
      </c>
      <c r="C196" s="16">
        <f>IF(INPUT!D196="","",INPUT!D196)</f>
        <v/>
      </c>
      <c r="D196" s="16">
        <f>IF(INPUT!C196="","",INPUT!C196)</f>
        <v/>
      </c>
      <c r="E196" s="17">
        <f>IF(INPUT!E196="","",INPUT!E196)</f>
        <v/>
      </c>
      <c r="F196" s="17">
        <f>IF(E196="","",TEXT(E196,"0000000000"))</f>
        <v/>
      </c>
      <c r="G196" s="17">
        <f>IF(B196="","",IFERROR(INDEX(DB!$B:$B,MATCH(B196,DB!$A:$A,0)),"-"))</f>
        <v/>
      </c>
      <c r="H196" s="4">
        <f>IF(B196="","",IF(G196="-","NEW ITEM",IF(F196=TEXT(G196,"0000000000"),"MATCH","MISMATCH")))</f>
        <v/>
      </c>
      <c r="I196" s="4">
        <f>IF(B196="","",IF(G196="-","-",IF(F196&lt;&gt;TEXT(G196,"0000000000"),"CHECK - HS MISMATCH","-")))</f>
        <v/>
      </c>
    </row>
    <row r="197" ht="15" customHeight="1">
      <c r="A197" s="14">
        <f>IF(INPUT!A197="","",INPUT!A197)</f>
        <v/>
      </c>
      <c r="B197" s="14">
        <f>IF(INPUT!B197="","",INPUT!B197)</f>
        <v/>
      </c>
      <c r="C197" s="14">
        <f>IF(INPUT!D197="","",INPUT!D197)</f>
        <v/>
      </c>
      <c r="D197" s="14">
        <f>IF(INPUT!C197="","",INPUT!C197)</f>
        <v/>
      </c>
      <c r="E197" s="15">
        <f>IF(INPUT!E197="","",INPUT!E197)</f>
        <v/>
      </c>
      <c r="F197" s="15">
        <f>IF(E197="","",TEXT(E197,"0000000000"))</f>
        <v/>
      </c>
      <c r="G197" s="15">
        <f>IF(B197="","",IFERROR(INDEX(DB!$B:$B,MATCH(B197,DB!$A:$A,0)),"-"))</f>
        <v/>
      </c>
      <c r="H197" s="6">
        <f>IF(B197="","",IF(G197="-","NEW ITEM",IF(F197=TEXT(G197,"0000000000"),"MATCH","MISMATCH")))</f>
        <v/>
      </c>
      <c r="I197" s="6">
        <f>IF(B197="","",IF(G197="-","-",IF(F197&lt;&gt;TEXT(G197,"0000000000"),"CHECK - HS MISMATCH","-")))</f>
        <v/>
      </c>
    </row>
    <row r="198" ht="15" customHeight="1">
      <c r="A198" s="16">
        <f>IF(INPUT!A198="","",INPUT!A198)</f>
        <v/>
      </c>
      <c r="B198" s="16">
        <f>IF(INPUT!B198="","",INPUT!B198)</f>
        <v/>
      </c>
      <c r="C198" s="16">
        <f>IF(INPUT!D198="","",INPUT!D198)</f>
        <v/>
      </c>
      <c r="D198" s="16">
        <f>IF(INPUT!C198="","",INPUT!C198)</f>
        <v/>
      </c>
      <c r="E198" s="17">
        <f>IF(INPUT!E198="","",INPUT!E198)</f>
        <v/>
      </c>
      <c r="F198" s="17">
        <f>IF(E198="","",TEXT(E198,"0000000000"))</f>
        <v/>
      </c>
      <c r="G198" s="17">
        <f>IF(B198="","",IFERROR(INDEX(DB!$B:$B,MATCH(B198,DB!$A:$A,0)),"-"))</f>
        <v/>
      </c>
      <c r="H198" s="4">
        <f>IF(B198="","",IF(G198="-","NEW ITEM",IF(F198=TEXT(G198,"0000000000"),"MATCH","MISMATCH")))</f>
        <v/>
      </c>
      <c r="I198" s="4">
        <f>IF(B198="","",IF(G198="-","-",IF(F198&lt;&gt;TEXT(G198,"0000000000"),"CHECK - HS MISMATCH","-")))</f>
        <v/>
      </c>
    </row>
    <row r="199" ht="15" customHeight="1">
      <c r="A199" s="14">
        <f>IF(INPUT!A199="","",INPUT!A199)</f>
        <v/>
      </c>
      <c r="B199" s="14">
        <f>IF(INPUT!B199="","",INPUT!B199)</f>
        <v/>
      </c>
      <c r="C199" s="14">
        <f>IF(INPUT!D199="","",INPUT!D199)</f>
        <v/>
      </c>
      <c r="D199" s="14">
        <f>IF(INPUT!C199="","",INPUT!C199)</f>
        <v/>
      </c>
      <c r="E199" s="15">
        <f>IF(INPUT!E199="","",INPUT!E199)</f>
        <v/>
      </c>
      <c r="F199" s="15">
        <f>IF(E199="","",TEXT(E199,"0000000000"))</f>
        <v/>
      </c>
      <c r="G199" s="15">
        <f>IF(B199="","",IFERROR(INDEX(DB!$B:$B,MATCH(B199,DB!$A:$A,0)),"-"))</f>
        <v/>
      </c>
      <c r="H199" s="6">
        <f>IF(B199="","",IF(G199="-","NEW ITEM",IF(F199=TEXT(G199,"0000000000"),"MATCH","MISMATCH")))</f>
        <v/>
      </c>
      <c r="I199" s="6">
        <f>IF(B199="","",IF(G199="-","-",IF(F199&lt;&gt;TEXT(G199,"0000000000"),"CHECK - HS MISMATCH","-")))</f>
        <v/>
      </c>
    </row>
    <row r="200" ht="15" customHeight="1">
      <c r="A200" s="16">
        <f>IF(INPUT!A200="","",INPUT!A200)</f>
        <v/>
      </c>
      <c r="B200" s="16">
        <f>IF(INPUT!B200="","",INPUT!B200)</f>
        <v/>
      </c>
      <c r="C200" s="16">
        <f>IF(INPUT!D200="","",INPUT!D200)</f>
        <v/>
      </c>
      <c r="D200" s="16">
        <f>IF(INPUT!C200="","",INPUT!C200)</f>
        <v/>
      </c>
      <c r="E200" s="17">
        <f>IF(INPUT!E200="","",INPUT!E200)</f>
        <v/>
      </c>
      <c r="F200" s="17">
        <f>IF(E200="","",TEXT(E200,"0000000000"))</f>
        <v/>
      </c>
      <c r="G200" s="17">
        <f>IF(B200="","",IFERROR(INDEX(DB!$B:$B,MATCH(B200,DB!$A:$A,0)),"-"))</f>
        <v/>
      </c>
      <c r="H200" s="4">
        <f>IF(B200="","",IF(G200="-","NEW ITEM",IF(F200=TEXT(G200,"0000000000"),"MATCH","MISMATCH")))</f>
        <v/>
      </c>
      <c r="I200" s="4">
        <f>IF(B200="","",IF(G200="-","-",IF(F200&lt;&gt;TEXT(G200,"0000000000"),"CHECK - HS MISMATCH","-")))</f>
        <v/>
      </c>
    </row>
    <row r="201" ht="15" customHeight="1">
      <c r="A201" s="14">
        <f>IF(INPUT!A201="","",INPUT!A201)</f>
        <v/>
      </c>
      <c r="B201" s="14">
        <f>IF(INPUT!B201="","",INPUT!B201)</f>
        <v/>
      </c>
      <c r="C201" s="14">
        <f>IF(INPUT!D201="","",INPUT!D201)</f>
        <v/>
      </c>
      <c r="D201" s="14">
        <f>IF(INPUT!C201="","",INPUT!C201)</f>
        <v/>
      </c>
      <c r="E201" s="15">
        <f>IF(INPUT!E201="","",INPUT!E201)</f>
        <v/>
      </c>
      <c r="F201" s="15">
        <f>IF(E201="","",TEXT(E201,"0000000000"))</f>
        <v/>
      </c>
      <c r="G201" s="15">
        <f>IF(B201="","",IFERROR(INDEX(DB!$B:$B,MATCH(B201,DB!$A:$A,0)),"-"))</f>
        <v/>
      </c>
      <c r="H201" s="6">
        <f>IF(B201="","",IF(G201="-","NEW ITEM",IF(F201=TEXT(G201,"0000000000"),"MATCH","MISMATCH")))</f>
        <v/>
      </c>
      <c r="I201" s="6">
        <f>IF(B201="","",IF(G201="-","-",IF(F201&lt;&gt;TEXT(G201,"0000000000"),"CHECK - HS MISMATCH","-")))</f>
        <v/>
      </c>
    </row>
    <row r="202" ht="15" customHeight="1">
      <c r="A202" s="16">
        <f>IF(INPUT!A202="","",INPUT!A202)</f>
        <v/>
      </c>
      <c r="B202" s="16">
        <f>IF(INPUT!B202="","",INPUT!B202)</f>
        <v/>
      </c>
      <c r="C202" s="16">
        <f>IF(INPUT!D202="","",INPUT!D202)</f>
        <v/>
      </c>
      <c r="D202" s="16">
        <f>IF(INPUT!C202="","",INPUT!C202)</f>
        <v/>
      </c>
      <c r="E202" s="17">
        <f>IF(INPUT!E202="","",INPUT!E202)</f>
        <v/>
      </c>
      <c r="F202" s="17">
        <f>IF(E202="","",TEXT(E202,"0000000000"))</f>
        <v/>
      </c>
      <c r="G202" s="17">
        <f>IF(B202="","",IFERROR(INDEX(DB!$B:$B,MATCH(B202,DB!$A:$A,0)),"-"))</f>
        <v/>
      </c>
      <c r="H202" s="4">
        <f>IF(B202="","",IF(G202="-","NEW ITEM",IF(F202=TEXT(G202,"0000000000"),"MATCH","MISMATCH")))</f>
        <v/>
      </c>
      <c r="I202" s="4">
        <f>IF(B202="","",IF(G202="-","-",IF(F202&lt;&gt;TEXT(G202,"0000000000"),"CHECK - HS MISMATCH","-")))</f>
        <v/>
      </c>
    </row>
    <row r="203" ht="15" customHeight="1">
      <c r="A203" s="14">
        <f>IF(INPUT!A203="","",INPUT!A203)</f>
        <v/>
      </c>
      <c r="B203" s="14">
        <f>IF(INPUT!B203="","",INPUT!B203)</f>
        <v/>
      </c>
      <c r="C203" s="14">
        <f>IF(INPUT!D203="","",INPUT!D203)</f>
        <v/>
      </c>
      <c r="D203" s="14">
        <f>IF(INPUT!C203="","",INPUT!C203)</f>
        <v/>
      </c>
      <c r="E203" s="15">
        <f>IF(INPUT!E203="","",INPUT!E203)</f>
        <v/>
      </c>
      <c r="F203" s="15">
        <f>IF(E203="","",TEXT(E203,"0000000000"))</f>
        <v/>
      </c>
      <c r="G203" s="15">
        <f>IF(B203="","",IFERROR(INDEX(DB!$B:$B,MATCH(B203,DB!$A:$A,0)),"-"))</f>
        <v/>
      </c>
      <c r="H203" s="6">
        <f>IF(B203="","",IF(G203="-","NEW ITEM",IF(F203=TEXT(G203,"0000000000"),"MATCH","MISMATCH")))</f>
        <v/>
      </c>
      <c r="I203" s="6">
        <f>IF(B203="","",IF(G203="-","-",IF(F203&lt;&gt;TEXT(G203,"0000000000"),"CHECK - HS MISMATCH","-")))</f>
        <v/>
      </c>
    </row>
    <row r="204" ht="15" customHeight="1">
      <c r="A204" s="16">
        <f>IF(INPUT!A204="","",INPUT!A204)</f>
        <v/>
      </c>
      <c r="B204" s="16">
        <f>IF(INPUT!B204="","",INPUT!B204)</f>
        <v/>
      </c>
      <c r="C204" s="16">
        <f>IF(INPUT!D204="","",INPUT!D204)</f>
        <v/>
      </c>
      <c r="D204" s="16">
        <f>IF(INPUT!C204="","",INPUT!C204)</f>
        <v/>
      </c>
      <c r="E204" s="17">
        <f>IF(INPUT!E204="","",INPUT!E204)</f>
        <v/>
      </c>
      <c r="F204" s="17">
        <f>IF(E204="","",TEXT(E204,"0000000000"))</f>
        <v/>
      </c>
      <c r="G204" s="17">
        <f>IF(B204="","",IFERROR(INDEX(DB!$B:$B,MATCH(B204,DB!$A:$A,0)),"-"))</f>
        <v/>
      </c>
      <c r="H204" s="4">
        <f>IF(B204="","",IF(G204="-","NEW ITEM",IF(F204=TEXT(G204,"0000000000"),"MATCH","MISMATCH")))</f>
        <v/>
      </c>
      <c r="I204" s="4">
        <f>IF(B204="","",IF(G204="-","-",IF(F204&lt;&gt;TEXT(G204,"0000000000"),"CHECK - HS MISMATCH","-")))</f>
        <v/>
      </c>
    </row>
    <row r="205" ht="15" customHeight="1">
      <c r="A205" s="14">
        <f>IF(INPUT!A205="","",INPUT!A205)</f>
        <v/>
      </c>
      <c r="B205" s="14">
        <f>IF(INPUT!B205="","",INPUT!B205)</f>
        <v/>
      </c>
      <c r="C205" s="14">
        <f>IF(INPUT!D205="","",INPUT!D205)</f>
        <v/>
      </c>
      <c r="D205" s="14">
        <f>IF(INPUT!C205="","",INPUT!C205)</f>
        <v/>
      </c>
      <c r="E205" s="15">
        <f>IF(INPUT!E205="","",INPUT!E205)</f>
        <v/>
      </c>
      <c r="F205" s="15">
        <f>IF(E205="","",TEXT(E205,"0000000000"))</f>
        <v/>
      </c>
      <c r="G205" s="15">
        <f>IF(B205="","",IFERROR(INDEX(DB!$B:$B,MATCH(B205,DB!$A:$A,0)),"-"))</f>
        <v/>
      </c>
      <c r="H205" s="6">
        <f>IF(B205="","",IF(G205="-","NEW ITEM",IF(F205=TEXT(G205,"0000000000"),"MATCH","MISMATCH")))</f>
        <v/>
      </c>
      <c r="I205" s="6">
        <f>IF(B205="","",IF(G205="-","-",IF(F205&lt;&gt;TEXT(G205,"0000000000"),"CHECK - HS MISMATCH","-")))</f>
        <v/>
      </c>
    </row>
    <row r="206" ht="15" customHeight="1">
      <c r="A206" s="16">
        <f>IF(INPUT!A206="","",INPUT!A206)</f>
        <v/>
      </c>
      <c r="B206" s="16">
        <f>IF(INPUT!B206="","",INPUT!B206)</f>
        <v/>
      </c>
      <c r="C206" s="16">
        <f>IF(INPUT!D206="","",INPUT!D206)</f>
        <v/>
      </c>
      <c r="D206" s="16">
        <f>IF(INPUT!C206="","",INPUT!C206)</f>
        <v/>
      </c>
      <c r="E206" s="17">
        <f>IF(INPUT!E206="","",INPUT!E206)</f>
        <v/>
      </c>
      <c r="F206" s="17">
        <f>IF(E206="","",TEXT(E206,"0000000000"))</f>
        <v/>
      </c>
      <c r="G206" s="17">
        <f>IF(B206="","",IFERROR(INDEX(DB!$B:$B,MATCH(B206,DB!$A:$A,0)),"-"))</f>
        <v/>
      </c>
      <c r="H206" s="4">
        <f>IF(B206="","",IF(G206="-","NEW ITEM",IF(F206=TEXT(G206,"0000000000"),"MATCH","MISMATCH")))</f>
        <v/>
      </c>
      <c r="I206" s="4">
        <f>IF(B206="","",IF(G206="-","-",IF(F206&lt;&gt;TEXT(G206,"0000000000"),"CHECK - HS MISMATCH","-")))</f>
        <v/>
      </c>
    </row>
    <row r="207" ht="15" customHeight="1">
      <c r="A207" s="14">
        <f>IF(INPUT!A207="","",INPUT!A207)</f>
        <v/>
      </c>
      <c r="B207" s="14">
        <f>IF(INPUT!B207="","",INPUT!B207)</f>
        <v/>
      </c>
      <c r="C207" s="14">
        <f>IF(INPUT!D207="","",INPUT!D207)</f>
        <v/>
      </c>
      <c r="D207" s="14">
        <f>IF(INPUT!C207="","",INPUT!C207)</f>
        <v/>
      </c>
      <c r="E207" s="15">
        <f>IF(INPUT!E207="","",INPUT!E207)</f>
        <v/>
      </c>
      <c r="F207" s="15">
        <f>IF(E207="","",TEXT(E207,"0000000000"))</f>
        <v/>
      </c>
      <c r="G207" s="15">
        <f>IF(B207="","",IFERROR(INDEX(DB!$B:$B,MATCH(B207,DB!$A:$A,0)),"-"))</f>
        <v/>
      </c>
      <c r="H207" s="6">
        <f>IF(B207="","",IF(G207="-","NEW ITEM",IF(F207=TEXT(G207,"0000000000"),"MATCH","MISMATCH")))</f>
        <v/>
      </c>
      <c r="I207" s="6">
        <f>IF(B207="","",IF(G207="-","-",IF(F207&lt;&gt;TEXT(G207,"0000000000"),"CHECK - HS MISMATCH","-")))</f>
        <v/>
      </c>
    </row>
    <row r="208" ht="15" customHeight="1">
      <c r="A208" s="16">
        <f>IF(INPUT!A208="","",INPUT!A208)</f>
        <v/>
      </c>
      <c r="B208" s="16">
        <f>IF(INPUT!B208="","",INPUT!B208)</f>
        <v/>
      </c>
      <c r="C208" s="16">
        <f>IF(INPUT!D208="","",INPUT!D208)</f>
        <v/>
      </c>
      <c r="D208" s="16">
        <f>IF(INPUT!C208="","",INPUT!C208)</f>
        <v/>
      </c>
      <c r="E208" s="17">
        <f>IF(INPUT!E208="","",INPUT!E208)</f>
        <v/>
      </c>
      <c r="F208" s="17">
        <f>IF(E208="","",TEXT(E208,"0000000000"))</f>
        <v/>
      </c>
      <c r="G208" s="17">
        <f>IF(B208="","",IFERROR(INDEX(DB!$B:$B,MATCH(B208,DB!$A:$A,0)),"-"))</f>
        <v/>
      </c>
      <c r="H208" s="4">
        <f>IF(B208="","",IF(G208="-","NEW ITEM",IF(F208=TEXT(G208,"0000000000"),"MATCH","MISMATCH")))</f>
        <v/>
      </c>
      <c r="I208" s="4">
        <f>IF(B208="","",IF(G208="-","-",IF(F208&lt;&gt;TEXT(G208,"0000000000"),"CHECK - HS MISMATCH","-")))</f>
        <v/>
      </c>
    </row>
    <row r="209" ht="15" customHeight="1">
      <c r="A209" s="14">
        <f>IF(INPUT!A209="","",INPUT!A209)</f>
        <v/>
      </c>
      <c r="B209" s="14">
        <f>IF(INPUT!B209="","",INPUT!B209)</f>
        <v/>
      </c>
      <c r="C209" s="14">
        <f>IF(INPUT!D209="","",INPUT!D209)</f>
        <v/>
      </c>
      <c r="D209" s="14">
        <f>IF(INPUT!C209="","",INPUT!C209)</f>
        <v/>
      </c>
      <c r="E209" s="15">
        <f>IF(INPUT!E209="","",INPUT!E209)</f>
        <v/>
      </c>
      <c r="F209" s="15">
        <f>IF(E209="","",TEXT(E209,"0000000000"))</f>
        <v/>
      </c>
      <c r="G209" s="15">
        <f>IF(B209="","",IFERROR(INDEX(DB!$B:$B,MATCH(B209,DB!$A:$A,0)),"-"))</f>
        <v/>
      </c>
      <c r="H209" s="6">
        <f>IF(B209="","",IF(G209="-","NEW ITEM",IF(F209=TEXT(G209,"0000000000"),"MATCH","MISMATCH")))</f>
        <v/>
      </c>
      <c r="I209" s="6">
        <f>IF(B209="","",IF(G209="-","-",IF(F209&lt;&gt;TEXT(G209,"0000000000"),"CHECK - HS MISMATCH","-")))</f>
        <v/>
      </c>
    </row>
    <row r="210" ht="15" customHeight="1">
      <c r="A210" s="16">
        <f>IF(INPUT!A210="","",INPUT!A210)</f>
        <v/>
      </c>
      <c r="B210" s="16">
        <f>IF(INPUT!B210="","",INPUT!B210)</f>
        <v/>
      </c>
      <c r="C210" s="16">
        <f>IF(INPUT!D210="","",INPUT!D210)</f>
        <v/>
      </c>
      <c r="D210" s="16">
        <f>IF(INPUT!C210="","",INPUT!C210)</f>
        <v/>
      </c>
      <c r="E210" s="17">
        <f>IF(INPUT!E210="","",INPUT!E210)</f>
        <v/>
      </c>
      <c r="F210" s="17">
        <f>IF(E210="","",TEXT(E210,"0000000000"))</f>
        <v/>
      </c>
      <c r="G210" s="17">
        <f>IF(B210="","",IFERROR(INDEX(DB!$B:$B,MATCH(B210,DB!$A:$A,0)),"-"))</f>
        <v/>
      </c>
      <c r="H210" s="4">
        <f>IF(B210="","",IF(G210="-","NEW ITEM",IF(F210=TEXT(G210,"0000000000"),"MATCH","MISMATCH")))</f>
        <v/>
      </c>
      <c r="I210" s="4">
        <f>IF(B210="","",IF(G210="-","-",IF(F210&lt;&gt;TEXT(G210,"0000000000"),"CHECK - HS MISMATCH","-")))</f>
        <v/>
      </c>
    </row>
    <row r="211" ht="15" customHeight="1">
      <c r="A211" s="14">
        <f>IF(INPUT!A211="","",INPUT!A211)</f>
        <v/>
      </c>
      <c r="B211" s="14">
        <f>IF(INPUT!B211="","",INPUT!B211)</f>
        <v/>
      </c>
      <c r="C211" s="14">
        <f>IF(INPUT!D211="","",INPUT!D211)</f>
        <v/>
      </c>
      <c r="D211" s="14">
        <f>IF(INPUT!C211="","",INPUT!C211)</f>
        <v/>
      </c>
      <c r="E211" s="15">
        <f>IF(INPUT!E211="","",INPUT!E211)</f>
        <v/>
      </c>
      <c r="F211" s="15">
        <f>IF(E211="","",TEXT(E211,"0000000000"))</f>
        <v/>
      </c>
      <c r="G211" s="15">
        <f>IF(B211="","",IFERROR(INDEX(DB!$B:$B,MATCH(B211,DB!$A:$A,0)),"-"))</f>
        <v/>
      </c>
      <c r="H211" s="6">
        <f>IF(B211="","",IF(G211="-","NEW ITEM",IF(F211=TEXT(G211,"0000000000"),"MATCH","MISMATCH")))</f>
        <v/>
      </c>
      <c r="I211" s="6">
        <f>IF(B211="","",IF(G211="-","-",IF(F211&lt;&gt;TEXT(G211,"0000000000"),"CHECK - HS MISMATCH","-")))</f>
        <v/>
      </c>
    </row>
    <row r="212" ht="15" customHeight="1">
      <c r="A212" s="16">
        <f>IF(INPUT!A212="","",INPUT!A212)</f>
        <v/>
      </c>
      <c r="B212" s="16">
        <f>IF(INPUT!B212="","",INPUT!B212)</f>
        <v/>
      </c>
      <c r="C212" s="16">
        <f>IF(INPUT!D212="","",INPUT!D212)</f>
        <v/>
      </c>
      <c r="D212" s="16">
        <f>IF(INPUT!C212="","",INPUT!C212)</f>
        <v/>
      </c>
      <c r="E212" s="17">
        <f>IF(INPUT!E212="","",INPUT!E212)</f>
        <v/>
      </c>
      <c r="F212" s="17">
        <f>IF(E212="","",TEXT(E212,"0000000000"))</f>
        <v/>
      </c>
      <c r="G212" s="17">
        <f>IF(B212="","",IFERROR(INDEX(DB!$B:$B,MATCH(B212,DB!$A:$A,0)),"-"))</f>
        <v/>
      </c>
      <c r="H212" s="4">
        <f>IF(B212="","",IF(G212="-","NEW ITEM",IF(F212=TEXT(G212,"0000000000"),"MATCH","MISMATCH")))</f>
        <v/>
      </c>
      <c r="I212" s="4">
        <f>IF(B212="","",IF(G212="-","-",IF(F212&lt;&gt;TEXT(G212,"0000000000"),"CHECK - HS MISMATCH","-")))</f>
        <v/>
      </c>
    </row>
    <row r="213" ht="15" customHeight="1">
      <c r="A213" s="14">
        <f>IF(INPUT!A213="","",INPUT!A213)</f>
        <v/>
      </c>
      <c r="B213" s="14">
        <f>IF(INPUT!B213="","",INPUT!B213)</f>
        <v/>
      </c>
      <c r="C213" s="14">
        <f>IF(INPUT!D213="","",INPUT!D213)</f>
        <v/>
      </c>
      <c r="D213" s="14">
        <f>IF(INPUT!C213="","",INPUT!C213)</f>
        <v/>
      </c>
      <c r="E213" s="15">
        <f>IF(INPUT!E213="","",INPUT!E213)</f>
        <v/>
      </c>
      <c r="F213" s="15">
        <f>IF(E213="","",TEXT(E213,"0000000000"))</f>
        <v/>
      </c>
      <c r="G213" s="15">
        <f>IF(B213="","",IFERROR(INDEX(DB!$B:$B,MATCH(B213,DB!$A:$A,0)),"-"))</f>
        <v/>
      </c>
      <c r="H213" s="6">
        <f>IF(B213="","",IF(G213="-","NEW ITEM",IF(F213=TEXT(G213,"0000000000"),"MATCH","MISMATCH")))</f>
        <v/>
      </c>
      <c r="I213" s="6">
        <f>IF(B213="","",IF(G213="-","-",IF(F213&lt;&gt;TEXT(G213,"0000000000"),"CHECK - HS MISMATCH","-")))</f>
        <v/>
      </c>
    </row>
    <row r="214" ht="15" customHeight="1">
      <c r="A214" s="16">
        <f>IF(INPUT!A214="","",INPUT!A214)</f>
        <v/>
      </c>
      <c r="B214" s="16">
        <f>IF(INPUT!B214="","",INPUT!B214)</f>
        <v/>
      </c>
      <c r="C214" s="16">
        <f>IF(INPUT!D214="","",INPUT!D214)</f>
        <v/>
      </c>
      <c r="D214" s="16">
        <f>IF(INPUT!C214="","",INPUT!C214)</f>
        <v/>
      </c>
      <c r="E214" s="17">
        <f>IF(INPUT!E214="","",INPUT!E214)</f>
        <v/>
      </c>
      <c r="F214" s="17">
        <f>IF(E214="","",TEXT(E214,"0000000000"))</f>
        <v/>
      </c>
      <c r="G214" s="17">
        <f>IF(B214="","",IFERROR(INDEX(DB!$B:$B,MATCH(B214,DB!$A:$A,0)),"-"))</f>
        <v/>
      </c>
      <c r="H214" s="4">
        <f>IF(B214="","",IF(G214="-","NEW ITEM",IF(F214=TEXT(G214,"0000000000"),"MATCH","MISMATCH")))</f>
        <v/>
      </c>
      <c r="I214" s="4">
        <f>IF(B214="","",IF(G214="-","-",IF(F214&lt;&gt;TEXT(G214,"0000000000"),"CHECK - HS MISMATCH","-")))</f>
        <v/>
      </c>
    </row>
    <row r="215" ht="15" customHeight="1">
      <c r="A215" s="14">
        <f>IF(INPUT!A215="","",INPUT!A215)</f>
        <v/>
      </c>
      <c r="B215" s="14">
        <f>IF(INPUT!B215="","",INPUT!B215)</f>
        <v/>
      </c>
      <c r="C215" s="14">
        <f>IF(INPUT!D215="","",INPUT!D215)</f>
        <v/>
      </c>
      <c r="D215" s="14">
        <f>IF(INPUT!C215="","",INPUT!C215)</f>
        <v/>
      </c>
      <c r="E215" s="15">
        <f>IF(INPUT!E215="","",INPUT!E215)</f>
        <v/>
      </c>
      <c r="F215" s="15">
        <f>IF(E215="","",TEXT(E215,"0000000000"))</f>
        <v/>
      </c>
      <c r="G215" s="15">
        <f>IF(B215="","",IFERROR(INDEX(DB!$B:$B,MATCH(B215,DB!$A:$A,0)),"-"))</f>
        <v/>
      </c>
      <c r="H215" s="6">
        <f>IF(B215="","",IF(G215="-","NEW ITEM",IF(F215=TEXT(G215,"0000000000"),"MATCH","MISMATCH")))</f>
        <v/>
      </c>
      <c r="I215" s="6">
        <f>IF(B215="","",IF(G215="-","-",IF(F215&lt;&gt;TEXT(G215,"0000000000"),"CHECK - HS MISMATCH","-")))</f>
        <v/>
      </c>
    </row>
    <row r="216" ht="15" customHeight="1">
      <c r="A216" s="16">
        <f>IF(INPUT!A216="","",INPUT!A216)</f>
        <v/>
      </c>
      <c r="B216" s="16">
        <f>IF(INPUT!B216="","",INPUT!B216)</f>
        <v/>
      </c>
      <c r="C216" s="16">
        <f>IF(INPUT!D216="","",INPUT!D216)</f>
        <v/>
      </c>
      <c r="D216" s="16">
        <f>IF(INPUT!C216="","",INPUT!C216)</f>
        <v/>
      </c>
      <c r="E216" s="17">
        <f>IF(INPUT!E216="","",INPUT!E216)</f>
        <v/>
      </c>
      <c r="F216" s="17">
        <f>IF(E216="","",TEXT(E216,"0000000000"))</f>
        <v/>
      </c>
      <c r="G216" s="17">
        <f>IF(B216="","",IFERROR(INDEX(DB!$B:$B,MATCH(B216,DB!$A:$A,0)),"-"))</f>
        <v/>
      </c>
      <c r="H216" s="4">
        <f>IF(B216="","",IF(G216="-","NEW ITEM",IF(F216=TEXT(G216,"0000000000"),"MATCH","MISMATCH")))</f>
        <v/>
      </c>
      <c r="I216" s="4">
        <f>IF(B216="","",IF(G216="-","-",IF(F216&lt;&gt;TEXT(G216,"0000000000"),"CHECK - HS MISMATCH","-")))</f>
        <v/>
      </c>
    </row>
    <row r="217" ht="15" customHeight="1">
      <c r="A217" s="14">
        <f>IF(INPUT!A217="","",INPUT!A217)</f>
        <v/>
      </c>
      <c r="B217" s="14">
        <f>IF(INPUT!B217="","",INPUT!B217)</f>
        <v/>
      </c>
      <c r="C217" s="14">
        <f>IF(INPUT!D217="","",INPUT!D217)</f>
        <v/>
      </c>
      <c r="D217" s="14">
        <f>IF(INPUT!C217="","",INPUT!C217)</f>
        <v/>
      </c>
      <c r="E217" s="15">
        <f>IF(INPUT!E217="","",INPUT!E217)</f>
        <v/>
      </c>
      <c r="F217" s="15">
        <f>IF(E217="","",TEXT(E217,"0000000000"))</f>
        <v/>
      </c>
      <c r="G217" s="15">
        <f>IF(B217="","",IFERROR(INDEX(DB!$B:$B,MATCH(B217,DB!$A:$A,0)),"-"))</f>
        <v/>
      </c>
      <c r="H217" s="6">
        <f>IF(B217="","",IF(G217="-","NEW ITEM",IF(F217=TEXT(G217,"0000000000"),"MATCH","MISMATCH")))</f>
        <v/>
      </c>
      <c r="I217" s="6">
        <f>IF(B217="","",IF(G217="-","-",IF(F217&lt;&gt;TEXT(G217,"0000000000"),"CHECK - HS MISMATCH","-")))</f>
        <v/>
      </c>
    </row>
    <row r="218" ht="15" customHeight="1">
      <c r="A218" s="16">
        <f>IF(INPUT!A218="","",INPUT!A218)</f>
        <v/>
      </c>
      <c r="B218" s="16">
        <f>IF(INPUT!B218="","",INPUT!B218)</f>
        <v/>
      </c>
      <c r="C218" s="16">
        <f>IF(INPUT!D218="","",INPUT!D218)</f>
        <v/>
      </c>
      <c r="D218" s="16">
        <f>IF(INPUT!C218="","",INPUT!C218)</f>
        <v/>
      </c>
      <c r="E218" s="17">
        <f>IF(INPUT!E218="","",INPUT!E218)</f>
        <v/>
      </c>
      <c r="F218" s="17">
        <f>IF(E218="","",TEXT(E218,"0000000000"))</f>
        <v/>
      </c>
      <c r="G218" s="17">
        <f>IF(B218="","",IFERROR(INDEX(DB!$B:$B,MATCH(B218,DB!$A:$A,0)),"-"))</f>
        <v/>
      </c>
      <c r="H218" s="4">
        <f>IF(B218="","",IF(G218="-","NEW ITEM",IF(F218=TEXT(G218,"0000000000"),"MATCH","MISMATCH")))</f>
        <v/>
      </c>
      <c r="I218" s="4">
        <f>IF(B218="","",IF(G218="-","-",IF(F218&lt;&gt;TEXT(G218,"0000000000"),"CHECK - HS MISMATCH","-")))</f>
        <v/>
      </c>
    </row>
    <row r="219" ht="15" customHeight="1">
      <c r="A219" s="14">
        <f>IF(INPUT!A219="","",INPUT!A219)</f>
        <v/>
      </c>
      <c r="B219" s="14">
        <f>IF(INPUT!B219="","",INPUT!B219)</f>
        <v/>
      </c>
      <c r="C219" s="14">
        <f>IF(INPUT!D219="","",INPUT!D219)</f>
        <v/>
      </c>
      <c r="D219" s="14">
        <f>IF(INPUT!C219="","",INPUT!C219)</f>
        <v/>
      </c>
      <c r="E219" s="15">
        <f>IF(INPUT!E219="","",INPUT!E219)</f>
        <v/>
      </c>
      <c r="F219" s="15">
        <f>IF(E219="","",TEXT(E219,"0000000000"))</f>
        <v/>
      </c>
      <c r="G219" s="15">
        <f>IF(B219="","",IFERROR(INDEX(DB!$B:$B,MATCH(B219,DB!$A:$A,0)),"-"))</f>
        <v/>
      </c>
      <c r="H219" s="6">
        <f>IF(B219="","",IF(G219="-","NEW ITEM",IF(F219=TEXT(G219,"0000000000"),"MATCH","MISMATCH")))</f>
        <v/>
      </c>
      <c r="I219" s="6">
        <f>IF(B219="","",IF(G219="-","-",IF(F219&lt;&gt;TEXT(G219,"0000000000"),"CHECK - HS MISMATCH","-")))</f>
        <v/>
      </c>
    </row>
    <row r="220" ht="15" customHeight="1">
      <c r="A220" s="16">
        <f>IF(INPUT!A220="","",INPUT!A220)</f>
        <v/>
      </c>
      <c r="B220" s="16">
        <f>IF(INPUT!B220="","",INPUT!B220)</f>
        <v/>
      </c>
      <c r="C220" s="16">
        <f>IF(INPUT!D220="","",INPUT!D220)</f>
        <v/>
      </c>
      <c r="D220" s="16">
        <f>IF(INPUT!C220="","",INPUT!C220)</f>
        <v/>
      </c>
      <c r="E220" s="17">
        <f>IF(INPUT!E220="","",INPUT!E220)</f>
        <v/>
      </c>
      <c r="F220" s="17">
        <f>IF(E220="","",TEXT(E220,"0000000000"))</f>
        <v/>
      </c>
      <c r="G220" s="17">
        <f>IF(B220="","",IFERROR(INDEX(DB!$B:$B,MATCH(B220,DB!$A:$A,0)),"-"))</f>
        <v/>
      </c>
      <c r="H220" s="4">
        <f>IF(B220="","",IF(G220="-","NEW ITEM",IF(F220=TEXT(G220,"0000000000"),"MATCH","MISMATCH")))</f>
        <v/>
      </c>
      <c r="I220" s="4">
        <f>IF(B220="","",IF(G220="-","-",IF(F220&lt;&gt;TEXT(G220,"0000000000"),"CHECK - HS MISMATCH","-")))</f>
        <v/>
      </c>
    </row>
    <row r="221" ht="15" customHeight="1">
      <c r="A221" s="14">
        <f>IF(INPUT!A221="","",INPUT!A221)</f>
        <v/>
      </c>
      <c r="B221" s="14">
        <f>IF(INPUT!B221="","",INPUT!B221)</f>
        <v/>
      </c>
      <c r="C221" s="14">
        <f>IF(INPUT!D221="","",INPUT!D221)</f>
        <v/>
      </c>
      <c r="D221" s="14">
        <f>IF(INPUT!C221="","",INPUT!C221)</f>
        <v/>
      </c>
      <c r="E221" s="15">
        <f>IF(INPUT!E221="","",INPUT!E221)</f>
        <v/>
      </c>
      <c r="F221" s="15">
        <f>IF(E221="","",TEXT(E221,"0000000000"))</f>
        <v/>
      </c>
      <c r="G221" s="15">
        <f>IF(B221="","",IFERROR(INDEX(DB!$B:$B,MATCH(B221,DB!$A:$A,0)),"-"))</f>
        <v/>
      </c>
      <c r="H221" s="6">
        <f>IF(B221="","",IF(G221="-","NEW ITEM",IF(F221=TEXT(G221,"0000000000"),"MATCH","MISMATCH")))</f>
        <v/>
      </c>
      <c r="I221" s="6">
        <f>IF(B221="","",IF(G221="-","-",IF(F221&lt;&gt;TEXT(G221,"0000000000"),"CHECK - HS MISMATCH","-")))</f>
        <v/>
      </c>
    </row>
    <row r="222" ht="15" customHeight="1">
      <c r="A222" s="16">
        <f>IF(INPUT!A222="","",INPUT!A222)</f>
        <v/>
      </c>
      <c r="B222" s="16">
        <f>IF(INPUT!B222="","",INPUT!B222)</f>
        <v/>
      </c>
      <c r="C222" s="16">
        <f>IF(INPUT!D222="","",INPUT!D222)</f>
        <v/>
      </c>
      <c r="D222" s="16">
        <f>IF(INPUT!C222="","",INPUT!C222)</f>
        <v/>
      </c>
      <c r="E222" s="17">
        <f>IF(INPUT!E222="","",INPUT!E222)</f>
        <v/>
      </c>
      <c r="F222" s="17">
        <f>IF(E222="","",TEXT(E222,"0000000000"))</f>
        <v/>
      </c>
      <c r="G222" s="17">
        <f>IF(B222="","",IFERROR(INDEX(DB!$B:$B,MATCH(B222,DB!$A:$A,0)),"-"))</f>
        <v/>
      </c>
      <c r="H222" s="4">
        <f>IF(B222="","",IF(G222="-","NEW ITEM",IF(F222=TEXT(G222,"0000000000"),"MATCH","MISMATCH")))</f>
        <v/>
      </c>
      <c r="I222" s="4">
        <f>IF(B222="","",IF(G222="-","-",IF(F222&lt;&gt;TEXT(G222,"0000000000"),"CHECK - HS MISMATCH","-")))</f>
        <v/>
      </c>
    </row>
    <row r="223" ht="15" customHeight="1">
      <c r="A223" s="14">
        <f>IF(INPUT!A223="","",INPUT!A223)</f>
        <v/>
      </c>
      <c r="B223" s="14">
        <f>IF(INPUT!B223="","",INPUT!B223)</f>
        <v/>
      </c>
      <c r="C223" s="14">
        <f>IF(INPUT!D223="","",INPUT!D223)</f>
        <v/>
      </c>
      <c r="D223" s="14">
        <f>IF(INPUT!C223="","",INPUT!C223)</f>
        <v/>
      </c>
      <c r="E223" s="15">
        <f>IF(INPUT!E223="","",INPUT!E223)</f>
        <v/>
      </c>
      <c r="F223" s="15">
        <f>IF(E223="","",TEXT(E223,"0000000000"))</f>
        <v/>
      </c>
      <c r="G223" s="15">
        <f>IF(B223="","",IFERROR(INDEX(DB!$B:$B,MATCH(B223,DB!$A:$A,0)),"-"))</f>
        <v/>
      </c>
      <c r="H223" s="6">
        <f>IF(B223="","",IF(G223="-","NEW ITEM",IF(F223=TEXT(G223,"0000000000"),"MATCH","MISMATCH")))</f>
        <v/>
      </c>
      <c r="I223" s="6">
        <f>IF(B223="","",IF(G223="-","-",IF(F223&lt;&gt;TEXT(G223,"0000000000"),"CHECK - HS MISMATCH","-")))</f>
        <v/>
      </c>
    </row>
    <row r="224" ht="15" customHeight="1">
      <c r="A224" s="16">
        <f>IF(INPUT!A224="","",INPUT!A224)</f>
        <v/>
      </c>
      <c r="B224" s="16">
        <f>IF(INPUT!B224="","",INPUT!B224)</f>
        <v/>
      </c>
      <c r="C224" s="16">
        <f>IF(INPUT!D224="","",INPUT!D224)</f>
        <v/>
      </c>
      <c r="D224" s="16">
        <f>IF(INPUT!C224="","",INPUT!C224)</f>
        <v/>
      </c>
      <c r="E224" s="17">
        <f>IF(INPUT!E224="","",INPUT!E224)</f>
        <v/>
      </c>
      <c r="F224" s="17">
        <f>IF(E224="","",TEXT(E224,"0000000000"))</f>
        <v/>
      </c>
      <c r="G224" s="17">
        <f>IF(B224="","",IFERROR(INDEX(DB!$B:$B,MATCH(B224,DB!$A:$A,0)),"-"))</f>
        <v/>
      </c>
      <c r="H224" s="4">
        <f>IF(B224="","",IF(G224="-","NEW ITEM",IF(F224=TEXT(G224,"0000000000"),"MATCH","MISMATCH")))</f>
        <v/>
      </c>
      <c r="I224" s="4">
        <f>IF(B224="","",IF(G224="-","-",IF(F224&lt;&gt;TEXT(G224,"0000000000"),"CHECK - HS MISMATCH","-")))</f>
        <v/>
      </c>
    </row>
    <row r="225" ht="15" customHeight="1">
      <c r="A225" s="14">
        <f>IF(INPUT!A225="","",INPUT!A225)</f>
        <v/>
      </c>
      <c r="B225" s="14">
        <f>IF(INPUT!B225="","",INPUT!B225)</f>
        <v/>
      </c>
      <c r="C225" s="14">
        <f>IF(INPUT!D225="","",INPUT!D225)</f>
        <v/>
      </c>
      <c r="D225" s="14">
        <f>IF(INPUT!C225="","",INPUT!C225)</f>
        <v/>
      </c>
      <c r="E225" s="15">
        <f>IF(INPUT!E225="","",INPUT!E225)</f>
        <v/>
      </c>
      <c r="F225" s="15">
        <f>IF(E225="","",TEXT(E225,"0000000000"))</f>
        <v/>
      </c>
      <c r="G225" s="15">
        <f>IF(B225="","",IFERROR(INDEX(DB!$B:$B,MATCH(B225,DB!$A:$A,0)),"-"))</f>
        <v/>
      </c>
      <c r="H225" s="6">
        <f>IF(B225="","",IF(G225="-","NEW ITEM",IF(F225=TEXT(G225,"0000000000"),"MATCH","MISMATCH")))</f>
        <v/>
      </c>
      <c r="I225" s="6">
        <f>IF(B225="","",IF(G225="-","-",IF(F225&lt;&gt;TEXT(G225,"0000000000"),"CHECK - HS MISMATCH","-")))</f>
        <v/>
      </c>
    </row>
    <row r="226" ht="15" customHeight="1">
      <c r="A226" s="16">
        <f>IF(INPUT!A226="","",INPUT!A226)</f>
        <v/>
      </c>
      <c r="B226" s="16">
        <f>IF(INPUT!B226="","",INPUT!B226)</f>
        <v/>
      </c>
      <c r="C226" s="16">
        <f>IF(INPUT!D226="","",INPUT!D226)</f>
        <v/>
      </c>
      <c r="D226" s="16">
        <f>IF(INPUT!C226="","",INPUT!C226)</f>
        <v/>
      </c>
      <c r="E226" s="17">
        <f>IF(INPUT!E226="","",INPUT!E226)</f>
        <v/>
      </c>
      <c r="F226" s="17">
        <f>IF(E226="","",TEXT(E226,"0000000000"))</f>
        <v/>
      </c>
      <c r="G226" s="17">
        <f>IF(B226="","",IFERROR(INDEX(DB!$B:$B,MATCH(B226,DB!$A:$A,0)),"-"))</f>
        <v/>
      </c>
      <c r="H226" s="4">
        <f>IF(B226="","",IF(G226="-","NEW ITEM",IF(F226=TEXT(G226,"0000000000"),"MATCH","MISMATCH")))</f>
        <v/>
      </c>
      <c r="I226" s="4">
        <f>IF(B226="","",IF(G226="-","-",IF(F226&lt;&gt;TEXT(G226,"0000000000"),"CHECK - HS MISMATCH","-")))</f>
        <v/>
      </c>
    </row>
    <row r="227" ht="15" customHeight="1">
      <c r="A227" s="14">
        <f>IF(INPUT!A227="","",INPUT!A227)</f>
        <v/>
      </c>
      <c r="B227" s="14">
        <f>IF(INPUT!B227="","",INPUT!B227)</f>
        <v/>
      </c>
      <c r="C227" s="14">
        <f>IF(INPUT!D227="","",INPUT!D227)</f>
        <v/>
      </c>
      <c r="D227" s="14">
        <f>IF(INPUT!C227="","",INPUT!C227)</f>
        <v/>
      </c>
      <c r="E227" s="15">
        <f>IF(INPUT!E227="","",INPUT!E227)</f>
        <v/>
      </c>
      <c r="F227" s="15">
        <f>IF(E227="","",TEXT(E227,"0000000000"))</f>
        <v/>
      </c>
      <c r="G227" s="15">
        <f>IF(B227="","",IFERROR(INDEX(DB!$B:$B,MATCH(B227,DB!$A:$A,0)),"-"))</f>
        <v/>
      </c>
      <c r="H227" s="6">
        <f>IF(B227="","",IF(G227="-","NEW ITEM",IF(F227=TEXT(G227,"0000000000"),"MATCH","MISMATCH")))</f>
        <v/>
      </c>
      <c r="I227" s="6">
        <f>IF(B227="","",IF(G227="-","-",IF(F227&lt;&gt;TEXT(G227,"0000000000"),"CHECK - HS MISMATCH","-")))</f>
        <v/>
      </c>
    </row>
    <row r="228" ht="15" customHeight="1">
      <c r="A228" s="16">
        <f>IF(INPUT!A228="","",INPUT!A228)</f>
        <v/>
      </c>
      <c r="B228" s="16">
        <f>IF(INPUT!B228="","",INPUT!B228)</f>
        <v/>
      </c>
      <c r="C228" s="16">
        <f>IF(INPUT!D228="","",INPUT!D228)</f>
        <v/>
      </c>
      <c r="D228" s="16">
        <f>IF(INPUT!C228="","",INPUT!C228)</f>
        <v/>
      </c>
      <c r="E228" s="17">
        <f>IF(INPUT!E228="","",INPUT!E228)</f>
        <v/>
      </c>
      <c r="F228" s="17">
        <f>IF(E228="","",TEXT(E228,"0000000000"))</f>
        <v/>
      </c>
      <c r="G228" s="17">
        <f>IF(B228="","",IFERROR(INDEX(DB!$B:$B,MATCH(B228,DB!$A:$A,0)),"-"))</f>
        <v/>
      </c>
      <c r="H228" s="4">
        <f>IF(B228="","",IF(G228="-","NEW ITEM",IF(F228=TEXT(G228,"0000000000"),"MATCH","MISMATCH")))</f>
        <v/>
      </c>
      <c r="I228" s="4">
        <f>IF(B228="","",IF(G228="-","-",IF(F228&lt;&gt;TEXT(G228,"0000000000"),"CHECK - HS MISMATCH","-")))</f>
        <v/>
      </c>
    </row>
    <row r="229" ht="15" customHeight="1">
      <c r="A229" s="14">
        <f>IF(INPUT!A229="","",INPUT!A229)</f>
        <v/>
      </c>
      <c r="B229" s="14">
        <f>IF(INPUT!B229="","",INPUT!B229)</f>
        <v/>
      </c>
      <c r="C229" s="14">
        <f>IF(INPUT!D229="","",INPUT!D229)</f>
        <v/>
      </c>
      <c r="D229" s="14">
        <f>IF(INPUT!C229="","",INPUT!C229)</f>
        <v/>
      </c>
      <c r="E229" s="15">
        <f>IF(INPUT!E229="","",INPUT!E229)</f>
        <v/>
      </c>
      <c r="F229" s="15">
        <f>IF(E229="","",TEXT(E229,"0000000000"))</f>
        <v/>
      </c>
      <c r="G229" s="15">
        <f>IF(B229="","",IFERROR(INDEX(DB!$B:$B,MATCH(B229,DB!$A:$A,0)),"-"))</f>
        <v/>
      </c>
      <c r="H229" s="6">
        <f>IF(B229="","",IF(G229="-","NEW ITEM",IF(F229=TEXT(G229,"0000000000"),"MATCH","MISMATCH")))</f>
        <v/>
      </c>
      <c r="I229" s="6">
        <f>IF(B229="","",IF(G229="-","-",IF(F229&lt;&gt;TEXT(G229,"0000000000"),"CHECK - HS MISMATCH","-")))</f>
        <v/>
      </c>
    </row>
    <row r="230" ht="15" customHeight="1">
      <c r="A230" s="16">
        <f>IF(INPUT!A230="","",INPUT!A230)</f>
        <v/>
      </c>
      <c r="B230" s="16">
        <f>IF(INPUT!B230="","",INPUT!B230)</f>
        <v/>
      </c>
      <c r="C230" s="16">
        <f>IF(INPUT!D230="","",INPUT!D230)</f>
        <v/>
      </c>
      <c r="D230" s="16">
        <f>IF(INPUT!C230="","",INPUT!C230)</f>
        <v/>
      </c>
      <c r="E230" s="17">
        <f>IF(INPUT!E230="","",INPUT!E230)</f>
        <v/>
      </c>
      <c r="F230" s="17">
        <f>IF(E230="","",TEXT(E230,"0000000000"))</f>
        <v/>
      </c>
      <c r="G230" s="17">
        <f>IF(B230="","",IFERROR(INDEX(DB!$B:$B,MATCH(B230,DB!$A:$A,0)),"-"))</f>
        <v/>
      </c>
      <c r="H230" s="4">
        <f>IF(B230="","",IF(G230="-","NEW ITEM",IF(F230=TEXT(G230,"0000000000"),"MATCH","MISMATCH")))</f>
        <v/>
      </c>
      <c r="I230" s="4">
        <f>IF(B230="","",IF(G230="-","-",IF(F230&lt;&gt;TEXT(G230,"0000000000"),"CHECK - HS MISMATCH","-")))</f>
        <v/>
      </c>
    </row>
    <row r="231" ht="15" customHeight="1">
      <c r="A231" s="14">
        <f>IF(INPUT!A231="","",INPUT!A231)</f>
        <v/>
      </c>
      <c r="B231" s="14">
        <f>IF(INPUT!B231="","",INPUT!B231)</f>
        <v/>
      </c>
      <c r="C231" s="14">
        <f>IF(INPUT!D231="","",INPUT!D231)</f>
        <v/>
      </c>
      <c r="D231" s="14">
        <f>IF(INPUT!C231="","",INPUT!C231)</f>
        <v/>
      </c>
      <c r="E231" s="15">
        <f>IF(INPUT!E231="","",INPUT!E231)</f>
        <v/>
      </c>
      <c r="F231" s="15">
        <f>IF(E231="","",TEXT(E231,"0000000000"))</f>
        <v/>
      </c>
      <c r="G231" s="15">
        <f>IF(B231="","",IFERROR(INDEX(DB!$B:$B,MATCH(B231,DB!$A:$A,0)),"-"))</f>
        <v/>
      </c>
      <c r="H231" s="6">
        <f>IF(B231="","",IF(G231="-","NEW ITEM",IF(F231=TEXT(G231,"0000000000"),"MATCH","MISMATCH")))</f>
        <v/>
      </c>
      <c r="I231" s="6">
        <f>IF(B231="","",IF(G231="-","-",IF(F231&lt;&gt;TEXT(G231,"0000000000"),"CHECK - HS MISMATCH","-")))</f>
        <v/>
      </c>
    </row>
    <row r="232" ht="15" customHeight="1">
      <c r="A232" s="16">
        <f>IF(INPUT!A232="","",INPUT!A232)</f>
        <v/>
      </c>
      <c r="B232" s="16">
        <f>IF(INPUT!B232="","",INPUT!B232)</f>
        <v/>
      </c>
      <c r="C232" s="16">
        <f>IF(INPUT!D232="","",INPUT!D232)</f>
        <v/>
      </c>
      <c r="D232" s="16">
        <f>IF(INPUT!C232="","",INPUT!C232)</f>
        <v/>
      </c>
      <c r="E232" s="17">
        <f>IF(INPUT!E232="","",INPUT!E232)</f>
        <v/>
      </c>
      <c r="F232" s="17">
        <f>IF(E232="","",TEXT(E232,"0000000000"))</f>
        <v/>
      </c>
      <c r="G232" s="17">
        <f>IF(B232="","",IFERROR(INDEX(DB!$B:$B,MATCH(B232,DB!$A:$A,0)),"-"))</f>
        <v/>
      </c>
      <c r="H232" s="4">
        <f>IF(B232="","",IF(G232="-","NEW ITEM",IF(F232=TEXT(G232,"0000000000"),"MATCH","MISMATCH")))</f>
        <v/>
      </c>
      <c r="I232" s="4">
        <f>IF(B232="","",IF(G232="-","-",IF(F232&lt;&gt;TEXT(G232,"0000000000"),"CHECK - HS MISMATCH","-")))</f>
        <v/>
      </c>
    </row>
    <row r="233" ht="15" customHeight="1">
      <c r="A233" s="14">
        <f>IF(INPUT!A233="","",INPUT!A233)</f>
        <v/>
      </c>
      <c r="B233" s="14">
        <f>IF(INPUT!B233="","",INPUT!B233)</f>
        <v/>
      </c>
      <c r="C233" s="14">
        <f>IF(INPUT!D233="","",INPUT!D233)</f>
        <v/>
      </c>
      <c r="D233" s="14">
        <f>IF(INPUT!C233="","",INPUT!C233)</f>
        <v/>
      </c>
      <c r="E233" s="15">
        <f>IF(INPUT!E233="","",INPUT!E233)</f>
        <v/>
      </c>
      <c r="F233" s="15">
        <f>IF(E233="","",TEXT(E233,"0000000000"))</f>
        <v/>
      </c>
      <c r="G233" s="15">
        <f>IF(B233="","",IFERROR(INDEX(DB!$B:$B,MATCH(B233,DB!$A:$A,0)),"-"))</f>
        <v/>
      </c>
      <c r="H233" s="6">
        <f>IF(B233="","",IF(G233="-","NEW ITEM",IF(F233=TEXT(G233,"0000000000"),"MATCH","MISMATCH")))</f>
        <v/>
      </c>
      <c r="I233" s="6">
        <f>IF(B233="","",IF(G233="-","-",IF(F233&lt;&gt;TEXT(G233,"0000000000"),"CHECK - HS MISMATCH","-")))</f>
        <v/>
      </c>
    </row>
    <row r="234" ht="15" customHeight="1">
      <c r="A234" s="16">
        <f>IF(INPUT!A234="","",INPUT!A234)</f>
        <v/>
      </c>
      <c r="B234" s="16">
        <f>IF(INPUT!B234="","",INPUT!B234)</f>
        <v/>
      </c>
      <c r="C234" s="16">
        <f>IF(INPUT!D234="","",INPUT!D234)</f>
        <v/>
      </c>
      <c r="D234" s="16">
        <f>IF(INPUT!C234="","",INPUT!C234)</f>
        <v/>
      </c>
      <c r="E234" s="17">
        <f>IF(INPUT!E234="","",INPUT!E234)</f>
        <v/>
      </c>
      <c r="F234" s="17">
        <f>IF(E234="","",TEXT(E234,"0000000000"))</f>
        <v/>
      </c>
      <c r="G234" s="17">
        <f>IF(B234="","",IFERROR(INDEX(DB!$B:$B,MATCH(B234,DB!$A:$A,0)),"-"))</f>
        <v/>
      </c>
      <c r="H234" s="4">
        <f>IF(B234="","",IF(G234="-","NEW ITEM",IF(F234=TEXT(G234,"0000000000"),"MATCH","MISMATCH")))</f>
        <v/>
      </c>
      <c r="I234" s="4">
        <f>IF(B234="","",IF(G234="-","-",IF(F234&lt;&gt;TEXT(G234,"0000000000"),"CHECK - HS MISMATCH","-")))</f>
        <v/>
      </c>
    </row>
    <row r="235" ht="15" customHeight="1">
      <c r="A235" s="14">
        <f>IF(INPUT!A235="","",INPUT!A235)</f>
        <v/>
      </c>
      <c r="B235" s="14">
        <f>IF(INPUT!B235="","",INPUT!B235)</f>
        <v/>
      </c>
      <c r="C235" s="14">
        <f>IF(INPUT!D235="","",INPUT!D235)</f>
        <v/>
      </c>
      <c r="D235" s="14">
        <f>IF(INPUT!C235="","",INPUT!C235)</f>
        <v/>
      </c>
      <c r="E235" s="15">
        <f>IF(INPUT!E235="","",INPUT!E235)</f>
        <v/>
      </c>
      <c r="F235" s="15">
        <f>IF(E235="","",TEXT(E235,"0000000000"))</f>
        <v/>
      </c>
      <c r="G235" s="15">
        <f>IF(B235="","",IFERROR(INDEX(DB!$B:$B,MATCH(B235,DB!$A:$A,0)),"-"))</f>
        <v/>
      </c>
      <c r="H235" s="6">
        <f>IF(B235="","",IF(G235="-","NEW ITEM",IF(F235=TEXT(G235,"0000000000"),"MATCH","MISMATCH")))</f>
        <v/>
      </c>
      <c r="I235" s="6">
        <f>IF(B235="","",IF(G235="-","-",IF(F235&lt;&gt;TEXT(G235,"0000000000"),"CHECK - HS MISMATCH","-")))</f>
        <v/>
      </c>
    </row>
    <row r="236" ht="15" customHeight="1">
      <c r="A236" s="16">
        <f>IF(INPUT!A236="","",INPUT!A236)</f>
        <v/>
      </c>
      <c r="B236" s="16">
        <f>IF(INPUT!B236="","",INPUT!B236)</f>
        <v/>
      </c>
      <c r="C236" s="16">
        <f>IF(INPUT!D236="","",INPUT!D236)</f>
        <v/>
      </c>
      <c r="D236" s="16">
        <f>IF(INPUT!C236="","",INPUT!C236)</f>
        <v/>
      </c>
      <c r="E236" s="17">
        <f>IF(INPUT!E236="","",INPUT!E236)</f>
        <v/>
      </c>
      <c r="F236" s="17">
        <f>IF(E236="","",TEXT(E236,"0000000000"))</f>
        <v/>
      </c>
      <c r="G236" s="17">
        <f>IF(B236="","",IFERROR(INDEX(DB!$B:$B,MATCH(B236,DB!$A:$A,0)),"-"))</f>
        <v/>
      </c>
      <c r="H236" s="4">
        <f>IF(B236="","",IF(G236="-","NEW ITEM",IF(F236=TEXT(G236,"0000000000"),"MATCH","MISMATCH")))</f>
        <v/>
      </c>
      <c r="I236" s="4">
        <f>IF(B236="","",IF(G236="-","-",IF(F236&lt;&gt;TEXT(G236,"0000000000"),"CHECK - HS MISMATCH","-")))</f>
        <v/>
      </c>
    </row>
    <row r="237" ht="15" customHeight="1">
      <c r="A237" s="14">
        <f>IF(INPUT!A237="","",INPUT!A237)</f>
        <v/>
      </c>
      <c r="B237" s="14">
        <f>IF(INPUT!B237="","",INPUT!B237)</f>
        <v/>
      </c>
      <c r="C237" s="14">
        <f>IF(INPUT!D237="","",INPUT!D237)</f>
        <v/>
      </c>
      <c r="D237" s="14">
        <f>IF(INPUT!C237="","",INPUT!C237)</f>
        <v/>
      </c>
      <c r="E237" s="15">
        <f>IF(INPUT!E237="","",INPUT!E237)</f>
        <v/>
      </c>
      <c r="F237" s="15">
        <f>IF(E237="","",TEXT(E237,"0000000000"))</f>
        <v/>
      </c>
      <c r="G237" s="15">
        <f>IF(B237="","",IFERROR(INDEX(DB!$B:$B,MATCH(B237,DB!$A:$A,0)),"-"))</f>
        <v/>
      </c>
      <c r="H237" s="6">
        <f>IF(B237="","",IF(G237="-","NEW ITEM",IF(F237=TEXT(G237,"0000000000"),"MATCH","MISMATCH")))</f>
        <v/>
      </c>
      <c r="I237" s="6">
        <f>IF(B237="","",IF(G237="-","-",IF(F237&lt;&gt;TEXT(G237,"0000000000"),"CHECK - HS MISMATCH","-")))</f>
        <v/>
      </c>
    </row>
    <row r="238" ht="15" customHeight="1">
      <c r="A238" s="16">
        <f>IF(INPUT!A238="","",INPUT!A238)</f>
        <v/>
      </c>
      <c r="B238" s="16">
        <f>IF(INPUT!B238="","",INPUT!B238)</f>
        <v/>
      </c>
      <c r="C238" s="16">
        <f>IF(INPUT!D238="","",INPUT!D238)</f>
        <v/>
      </c>
      <c r="D238" s="16">
        <f>IF(INPUT!C238="","",INPUT!C238)</f>
        <v/>
      </c>
      <c r="E238" s="17">
        <f>IF(INPUT!E238="","",INPUT!E238)</f>
        <v/>
      </c>
      <c r="F238" s="17">
        <f>IF(E238="","",TEXT(E238,"0000000000"))</f>
        <v/>
      </c>
      <c r="G238" s="17">
        <f>IF(B238="","",IFERROR(INDEX(DB!$B:$B,MATCH(B238,DB!$A:$A,0)),"-"))</f>
        <v/>
      </c>
      <c r="H238" s="4">
        <f>IF(B238="","",IF(G238="-","NEW ITEM",IF(F238=TEXT(G238,"0000000000"),"MATCH","MISMATCH")))</f>
        <v/>
      </c>
      <c r="I238" s="4">
        <f>IF(B238="","",IF(G238="-","-",IF(F238&lt;&gt;TEXT(G238,"0000000000"),"CHECK - HS MISMATCH","-")))</f>
        <v/>
      </c>
    </row>
    <row r="239" ht="15" customHeight="1">
      <c r="A239" s="14">
        <f>IF(INPUT!A239="","",INPUT!A239)</f>
        <v/>
      </c>
      <c r="B239" s="14">
        <f>IF(INPUT!B239="","",INPUT!B239)</f>
        <v/>
      </c>
      <c r="C239" s="14">
        <f>IF(INPUT!D239="","",INPUT!D239)</f>
        <v/>
      </c>
      <c r="D239" s="14">
        <f>IF(INPUT!C239="","",INPUT!C239)</f>
        <v/>
      </c>
      <c r="E239" s="15">
        <f>IF(INPUT!E239="","",INPUT!E239)</f>
        <v/>
      </c>
      <c r="F239" s="15">
        <f>IF(E239="","",TEXT(E239,"0000000000"))</f>
        <v/>
      </c>
      <c r="G239" s="15">
        <f>IF(B239="","",IFERROR(INDEX(DB!$B:$B,MATCH(B239,DB!$A:$A,0)),"-"))</f>
        <v/>
      </c>
      <c r="H239" s="6">
        <f>IF(B239="","",IF(G239="-","NEW ITEM",IF(F239=TEXT(G239,"0000000000"),"MATCH","MISMATCH")))</f>
        <v/>
      </c>
      <c r="I239" s="6">
        <f>IF(B239="","",IF(G239="-","-",IF(F239&lt;&gt;TEXT(G239,"0000000000"),"CHECK - HS MISMATCH","-")))</f>
        <v/>
      </c>
    </row>
    <row r="240" ht="15" customHeight="1">
      <c r="A240" s="16">
        <f>IF(INPUT!A240="","",INPUT!A240)</f>
        <v/>
      </c>
      <c r="B240" s="16">
        <f>IF(INPUT!B240="","",INPUT!B240)</f>
        <v/>
      </c>
      <c r="C240" s="16">
        <f>IF(INPUT!D240="","",INPUT!D240)</f>
        <v/>
      </c>
      <c r="D240" s="16">
        <f>IF(INPUT!C240="","",INPUT!C240)</f>
        <v/>
      </c>
      <c r="E240" s="17">
        <f>IF(INPUT!E240="","",INPUT!E240)</f>
        <v/>
      </c>
      <c r="F240" s="17">
        <f>IF(E240="","",TEXT(E240,"0000000000"))</f>
        <v/>
      </c>
      <c r="G240" s="17">
        <f>IF(B240="","",IFERROR(INDEX(DB!$B:$B,MATCH(B240,DB!$A:$A,0)),"-"))</f>
        <v/>
      </c>
      <c r="H240" s="4">
        <f>IF(B240="","",IF(G240="-","NEW ITEM",IF(F240=TEXT(G240,"0000000000"),"MATCH","MISMATCH")))</f>
        <v/>
      </c>
      <c r="I240" s="4">
        <f>IF(B240="","",IF(G240="-","-",IF(F240&lt;&gt;TEXT(G240,"0000000000"),"CHECK - HS MISMATCH","-")))</f>
        <v/>
      </c>
    </row>
    <row r="241" ht="15" customHeight="1">
      <c r="A241" s="14">
        <f>IF(INPUT!A241="","",INPUT!A241)</f>
        <v/>
      </c>
      <c r="B241" s="14">
        <f>IF(INPUT!B241="","",INPUT!B241)</f>
        <v/>
      </c>
      <c r="C241" s="14">
        <f>IF(INPUT!D241="","",INPUT!D241)</f>
        <v/>
      </c>
      <c r="D241" s="14">
        <f>IF(INPUT!C241="","",INPUT!C241)</f>
        <v/>
      </c>
      <c r="E241" s="15">
        <f>IF(INPUT!E241="","",INPUT!E241)</f>
        <v/>
      </c>
      <c r="F241" s="15">
        <f>IF(E241="","",TEXT(E241,"0000000000"))</f>
        <v/>
      </c>
      <c r="G241" s="15">
        <f>IF(B241="","",IFERROR(INDEX(DB!$B:$B,MATCH(B241,DB!$A:$A,0)),"-"))</f>
        <v/>
      </c>
      <c r="H241" s="6">
        <f>IF(B241="","",IF(G241="-","NEW ITEM",IF(F241=TEXT(G241,"0000000000"),"MATCH","MISMATCH")))</f>
        <v/>
      </c>
      <c r="I241" s="6">
        <f>IF(B241="","",IF(G241="-","-",IF(F241&lt;&gt;TEXT(G241,"0000000000"),"CHECK - HS MISMATCH","-")))</f>
        <v/>
      </c>
    </row>
    <row r="242" ht="15" customHeight="1">
      <c r="A242" s="16">
        <f>IF(INPUT!A242="","",INPUT!A242)</f>
        <v/>
      </c>
      <c r="B242" s="16">
        <f>IF(INPUT!B242="","",INPUT!B242)</f>
        <v/>
      </c>
      <c r="C242" s="16">
        <f>IF(INPUT!D242="","",INPUT!D242)</f>
        <v/>
      </c>
      <c r="D242" s="16">
        <f>IF(INPUT!C242="","",INPUT!C242)</f>
        <v/>
      </c>
      <c r="E242" s="17">
        <f>IF(INPUT!E242="","",INPUT!E242)</f>
        <v/>
      </c>
      <c r="F242" s="17">
        <f>IF(E242="","",TEXT(E242,"0000000000"))</f>
        <v/>
      </c>
      <c r="G242" s="17">
        <f>IF(B242="","",IFERROR(INDEX(DB!$B:$B,MATCH(B242,DB!$A:$A,0)),"-"))</f>
        <v/>
      </c>
      <c r="H242" s="4">
        <f>IF(B242="","",IF(G242="-","NEW ITEM",IF(F242=TEXT(G242,"0000000000"),"MATCH","MISMATCH")))</f>
        <v/>
      </c>
      <c r="I242" s="4">
        <f>IF(B242="","",IF(G242="-","-",IF(F242&lt;&gt;TEXT(G242,"0000000000"),"CHECK - HS MISMATCH","-")))</f>
        <v/>
      </c>
    </row>
    <row r="243" ht="15" customHeight="1">
      <c r="A243" s="14">
        <f>IF(INPUT!A243="","",INPUT!A243)</f>
        <v/>
      </c>
      <c r="B243" s="14">
        <f>IF(INPUT!B243="","",INPUT!B243)</f>
        <v/>
      </c>
      <c r="C243" s="14">
        <f>IF(INPUT!D243="","",INPUT!D243)</f>
        <v/>
      </c>
      <c r="D243" s="14">
        <f>IF(INPUT!C243="","",INPUT!C243)</f>
        <v/>
      </c>
      <c r="E243" s="15">
        <f>IF(INPUT!E243="","",INPUT!E243)</f>
        <v/>
      </c>
      <c r="F243" s="15">
        <f>IF(E243="","",TEXT(E243,"0000000000"))</f>
        <v/>
      </c>
      <c r="G243" s="15">
        <f>IF(B243="","",IFERROR(INDEX(DB!$B:$B,MATCH(B243,DB!$A:$A,0)),"-"))</f>
        <v/>
      </c>
      <c r="H243" s="6">
        <f>IF(B243="","",IF(G243="-","NEW ITEM",IF(F243=TEXT(G243,"0000000000"),"MATCH","MISMATCH")))</f>
        <v/>
      </c>
      <c r="I243" s="6">
        <f>IF(B243="","",IF(G243="-","-",IF(F243&lt;&gt;TEXT(G243,"0000000000"),"CHECK - HS MISMATCH","-")))</f>
        <v/>
      </c>
    </row>
    <row r="244" ht="15" customHeight="1">
      <c r="A244" s="16">
        <f>IF(INPUT!A244="","",INPUT!A244)</f>
        <v/>
      </c>
      <c r="B244" s="16">
        <f>IF(INPUT!B244="","",INPUT!B244)</f>
        <v/>
      </c>
      <c r="C244" s="16">
        <f>IF(INPUT!D244="","",INPUT!D244)</f>
        <v/>
      </c>
      <c r="D244" s="16">
        <f>IF(INPUT!C244="","",INPUT!C244)</f>
        <v/>
      </c>
      <c r="E244" s="17">
        <f>IF(INPUT!E244="","",INPUT!E244)</f>
        <v/>
      </c>
      <c r="F244" s="17">
        <f>IF(E244="","",TEXT(E244,"0000000000"))</f>
        <v/>
      </c>
      <c r="G244" s="17">
        <f>IF(B244="","",IFERROR(INDEX(DB!$B:$B,MATCH(B244,DB!$A:$A,0)),"-"))</f>
        <v/>
      </c>
      <c r="H244" s="4">
        <f>IF(B244="","",IF(G244="-","NEW ITEM",IF(F244=TEXT(G244,"0000000000"),"MATCH","MISMATCH")))</f>
        <v/>
      </c>
      <c r="I244" s="4">
        <f>IF(B244="","",IF(G244="-","-",IF(F244&lt;&gt;TEXT(G244,"0000000000"),"CHECK - HS MISMATCH","-")))</f>
        <v/>
      </c>
    </row>
    <row r="245" ht="15" customHeight="1">
      <c r="A245" s="14">
        <f>IF(INPUT!A245="","",INPUT!A245)</f>
        <v/>
      </c>
      <c r="B245" s="14">
        <f>IF(INPUT!B245="","",INPUT!B245)</f>
        <v/>
      </c>
      <c r="C245" s="14">
        <f>IF(INPUT!D245="","",INPUT!D245)</f>
        <v/>
      </c>
      <c r="D245" s="14">
        <f>IF(INPUT!C245="","",INPUT!C245)</f>
        <v/>
      </c>
      <c r="E245" s="15">
        <f>IF(INPUT!E245="","",INPUT!E245)</f>
        <v/>
      </c>
      <c r="F245" s="15">
        <f>IF(E245="","",TEXT(E245,"0000000000"))</f>
        <v/>
      </c>
      <c r="G245" s="15">
        <f>IF(B245="","",IFERROR(INDEX(DB!$B:$B,MATCH(B245,DB!$A:$A,0)),"-"))</f>
        <v/>
      </c>
      <c r="H245" s="6">
        <f>IF(B245="","",IF(G245="-","NEW ITEM",IF(F245=TEXT(G245,"0000000000"),"MATCH","MISMATCH")))</f>
        <v/>
      </c>
      <c r="I245" s="6">
        <f>IF(B245="","",IF(G245="-","-",IF(F245&lt;&gt;TEXT(G245,"0000000000"),"CHECK - HS MISMATCH","-")))</f>
        <v/>
      </c>
    </row>
    <row r="246" ht="15" customHeight="1">
      <c r="A246" s="16">
        <f>IF(INPUT!A246="","",INPUT!A246)</f>
        <v/>
      </c>
      <c r="B246" s="16">
        <f>IF(INPUT!B246="","",INPUT!B246)</f>
        <v/>
      </c>
      <c r="C246" s="16">
        <f>IF(INPUT!D246="","",INPUT!D246)</f>
        <v/>
      </c>
      <c r="D246" s="16">
        <f>IF(INPUT!C246="","",INPUT!C246)</f>
        <v/>
      </c>
      <c r="E246" s="17">
        <f>IF(INPUT!E246="","",INPUT!E246)</f>
        <v/>
      </c>
      <c r="F246" s="17">
        <f>IF(E246="","",TEXT(E246,"0000000000"))</f>
        <v/>
      </c>
      <c r="G246" s="17">
        <f>IF(B246="","",IFERROR(INDEX(DB!$B:$B,MATCH(B246,DB!$A:$A,0)),"-"))</f>
        <v/>
      </c>
      <c r="H246" s="4">
        <f>IF(B246="","",IF(G246="-","NEW ITEM",IF(F246=TEXT(G246,"0000000000"),"MATCH","MISMATCH")))</f>
        <v/>
      </c>
      <c r="I246" s="4">
        <f>IF(B246="","",IF(G246="-","-",IF(F246&lt;&gt;TEXT(G246,"0000000000"),"CHECK - HS MISMATCH","-")))</f>
        <v/>
      </c>
    </row>
    <row r="247" ht="15" customHeight="1">
      <c r="A247" s="14">
        <f>IF(INPUT!A247="","",INPUT!A247)</f>
        <v/>
      </c>
      <c r="B247" s="14">
        <f>IF(INPUT!B247="","",INPUT!B247)</f>
        <v/>
      </c>
      <c r="C247" s="14">
        <f>IF(INPUT!D247="","",INPUT!D247)</f>
        <v/>
      </c>
      <c r="D247" s="14">
        <f>IF(INPUT!C247="","",INPUT!C247)</f>
        <v/>
      </c>
      <c r="E247" s="15">
        <f>IF(INPUT!E247="","",INPUT!E247)</f>
        <v/>
      </c>
      <c r="F247" s="15">
        <f>IF(E247="","",TEXT(E247,"0000000000"))</f>
        <v/>
      </c>
      <c r="G247" s="15">
        <f>IF(B247="","",IFERROR(INDEX(DB!$B:$B,MATCH(B247,DB!$A:$A,0)),"-"))</f>
        <v/>
      </c>
      <c r="H247" s="6">
        <f>IF(B247="","",IF(G247="-","NEW ITEM",IF(F247=TEXT(G247,"0000000000"),"MATCH","MISMATCH")))</f>
        <v/>
      </c>
      <c r="I247" s="6">
        <f>IF(B247="","",IF(G247="-","-",IF(F247&lt;&gt;TEXT(G247,"0000000000"),"CHECK - HS MISMATCH","-")))</f>
        <v/>
      </c>
    </row>
    <row r="248" ht="15" customHeight="1">
      <c r="A248" s="16">
        <f>IF(INPUT!A248="","",INPUT!A248)</f>
        <v/>
      </c>
      <c r="B248" s="16">
        <f>IF(INPUT!B248="","",INPUT!B248)</f>
        <v/>
      </c>
      <c r="C248" s="16">
        <f>IF(INPUT!D248="","",INPUT!D248)</f>
        <v/>
      </c>
      <c r="D248" s="16">
        <f>IF(INPUT!C248="","",INPUT!C248)</f>
        <v/>
      </c>
      <c r="E248" s="17">
        <f>IF(INPUT!E248="","",INPUT!E248)</f>
        <v/>
      </c>
      <c r="F248" s="17">
        <f>IF(E248="","",TEXT(E248,"0000000000"))</f>
        <v/>
      </c>
      <c r="G248" s="17">
        <f>IF(B248="","",IFERROR(INDEX(DB!$B:$B,MATCH(B248,DB!$A:$A,0)),"-"))</f>
        <v/>
      </c>
      <c r="H248" s="4">
        <f>IF(B248="","",IF(G248="-","NEW ITEM",IF(F248=TEXT(G248,"0000000000"),"MATCH","MISMATCH")))</f>
        <v/>
      </c>
      <c r="I248" s="4">
        <f>IF(B248="","",IF(G248="-","-",IF(F248&lt;&gt;TEXT(G248,"0000000000"),"CHECK - HS MISMATCH","-")))</f>
        <v/>
      </c>
    </row>
    <row r="249" ht="15" customHeight="1">
      <c r="A249" s="14">
        <f>IF(INPUT!A249="","",INPUT!A249)</f>
        <v/>
      </c>
      <c r="B249" s="14">
        <f>IF(INPUT!B249="","",INPUT!B249)</f>
        <v/>
      </c>
      <c r="C249" s="14">
        <f>IF(INPUT!D249="","",INPUT!D249)</f>
        <v/>
      </c>
      <c r="D249" s="14">
        <f>IF(INPUT!C249="","",INPUT!C249)</f>
        <v/>
      </c>
      <c r="E249" s="15">
        <f>IF(INPUT!E249="","",INPUT!E249)</f>
        <v/>
      </c>
      <c r="F249" s="15">
        <f>IF(E249="","",TEXT(E249,"0000000000"))</f>
        <v/>
      </c>
      <c r="G249" s="15">
        <f>IF(B249="","",IFERROR(INDEX(DB!$B:$B,MATCH(B249,DB!$A:$A,0)),"-"))</f>
        <v/>
      </c>
      <c r="H249" s="6">
        <f>IF(B249="","",IF(G249="-","NEW ITEM",IF(F249=TEXT(G249,"0000000000"),"MATCH","MISMATCH")))</f>
        <v/>
      </c>
      <c r="I249" s="6">
        <f>IF(B249="","",IF(G249="-","-",IF(F249&lt;&gt;TEXT(G249,"0000000000"),"CHECK - HS MISMATCH","-")))</f>
        <v/>
      </c>
    </row>
    <row r="250" ht="15" customHeight="1">
      <c r="A250" s="16">
        <f>IF(INPUT!A250="","",INPUT!A250)</f>
        <v/>
      </c>
      <c r="B250" s="16">
        <f>IF(INPUT!B250="","",INPUT!B250)</f>
        <v/>
      </c>
      <c r="C250" s="16">
        <f>IF(INPUT!D250="","",INPUT!D250)</f>
        <v/>
      </c>
      <c r="D250" s="16">
        <f>IF(INPUT!C250="","",INPUT!C250)</f>
        <v/>
      </c>
      <c r="E250" s="17">
        <f>IF(INPUT!E250="","",INPUT!E250)</f>
        <v/>
      </c>
      <c r="F250" s="17">
        <f>IF(E250="","",TEXT(E250,"0000000000"))</f>
        <v/>
      </c>
      <c r="G250" s="17">
        <f>IF(B250="","",IFERROR(INDEX(DB!$B:$B,MATCH(B250,DB!$A:$A,0)),"-"))</f>
        <v/>
      </c>
      <c r="H250" s="4">
        <f>IF(B250="","",IF(G250="-","NEW ITEM",IF(F250=TEXT(G250,"0000000000"),"MATCH","MISMATCH")))</f>
        <v/>
      </c>
      <c r="I250" s="4">
        <f>IF(B250="","",IF(G250="-","-",IF(F250&lt;&gt;TEXT(G250,"0000000000"),"CHECK - HS MISMATCH","-")))</f>
        <v/>
      </c>
    </row>
    <row r="251" ht="15" customHeight="1">
      <c r="A251" s="14">
        <f>IF(INPUT!A251="","",INPUT!A251)</f>
        <v/>
      </c>
      <c r="B251" s="14">
        <f>IF(INPUT!B251="","",INPUT!B251)</f>
        <v/>
      </c>
      <c r="C251" s="14">
        <f>IF(INPUT!D251="","",INPUT!D251)</f>
        <v/>
      </c>
      <c r="D251" s="14">
        <f>IF(INPUT!C251="","",INPUT!C251)</f>
        <v/>
      </c>
      <c r="E251" s="15">
        <f>IF(INPUT!E251="","",INPUT!E251)</f>
        <v/>
      </c>
      <c r="F251" s="15">
        <f>IF(E251="","",TEXT(E251,"0000000000"))</f>
        <v/>
      </c>
      <c r="G251" s="15">
        <f>IF(B251="","",IFERROR(INDEX(DB!$B:$B,MATCH(B251,DB!$A:$A,0)),"-"))</f>
        <v/>
      </c>
      <c r="H251" s="6">
        <f>IF(B251="","",IF(G251="-","NEW ITEM",IF(F251=TEXT(G251,"0000000000"),"MATCH","MISMATCH")))</f>
        <v/>
      </c>
      <c r="I251" s="6">
        <f>IF(B251="","",IF(G251="-","-",IF(F251&lt;&gt;TEXT(G251,"0000000000"),"CHECK - HS MISMATCH","-")))</f>
        <v/>
      </c>
    </row>
    <row r="252" ht="15" customHeight="1">
      <c r="A252" s="16">
        <f>IF(INPUT!A252="","",INPUT!A252)</f>
        <v/>
      </c>
      <c r="B252" s="16">
        <f>IF(INPUT!B252="","",INPUT!B252)</f>
        <v/>
      </c>
      <c r="C252" s="16">
        <f>IF(INPUT!D252="","",INPUT!D252)</f>
        <v/>
      </c>
      <c r="D252" s="16">
        <f>IF(INPUT!C252="","",INPUT!C252)</f>
        <v/>
      </c>
      <c r="E252" s="17">
        <f>IF(INPUT!E252="","",INPUT!E252)</f>
        <v/>
      </c>
      <c r="F252" s="17">
        <f>IF(E252="","",TEXT(E252,"0000000000"))</f>
        <v/>
      </c>
      <c r="G252" s="17">
        <f>IF(B252="","",IFERROR(INDEX(DB!$B:$B,MATCH(B252,DB!$A:$A,0)),"-"))</f>
        <v/>
      </c>
      <c r="H252" s="4">
        <f>IF(B252="","",IF(G252="-","NEW ITEM",IF(F252=TEXT(G252,"0000000000"),"MATCH","MISMATCH")))</f>
        <v/>
      </c>
      <c r="I252" s="4">
        <f>IF(B252="","",IF(G252="-","-",IF(F252&lt;&gt;TEXT(G252,"0000000000"),"CHECK - HS MISMATCH","-")))</f>
        <v/>
      </c>
    </row>
    <row r="253" ht="15" customHeight="1">
      <c r="A253" s="14">
        <f>IF(INPUT!A253="","",INPUT!A253)</f>
        <v/>
      </c>
      <c r="B253" s="14">
        <f>IF(INPUT!B253="","",INPUT!B253)</f>
        <v/>
      </c>
      <c r="C253" s="14">
        <f>IF(INPUT!D253="","",INPUT!D253)</f>
        <v/>
      </c>
      <c r="D253" s="14">
        <f>IF(INPUT!C253="","",INPUT!C253)</f>
        <v/>
      </c>
      <c r="E253" s="15">
        <f>IF(INPUT!E253="","",INPUT!E253)</f>
        <v/>
      </c>
      <c r="F253" s="15">
        <f>IF(E253="","",TEXT(E253,"0000000000"))</f>
        <v/>
      </c>
      <c r="G253" s="15">
        <f>IF(B253="","",IFERROR(INDEX(DB!$B:$B,MATCH(B253,DB!$A:$A,0)),"-"))</f>
        <v/>
      </c>
      <c r="H253" s="6">
        <f>IF(B253="","",IF(G253="-","NEW ITEM",IF(F253=TEXT(G253,"0000000000"),"MATCH","MISMATCH")))</f>
        <v/>
      </c>
      <c r="I253" s="6">
        <f>IF(B253="","",IF(G253="-","-",IF(F253&lt;&gt;TEXT(G253,"0000000000"),"CHECK - HS MISMATCH","-")))</f>
        <v/>
      </c>
    </row>
    <row r="254" ht="15" customHeight="1">
      <c r="A254" s="16">
        <f>IF(INPUT!A254="","",INPUT!A254)</f>
        <v/>
      </c>
      <c r="B254" s="16">
        <f>IF(INPUT!B254="","",INPUT!B254)</f>
        <v/>
      </c>
      <c r="C254" s="16">
        <f>IF(INPUT!D254="","",INPUT!D254)</f>
        <v/>
      </c>
      <c r="D254" s="16">
        <f>IF(INPUT!C254="","",INPUT!C254)</f>
        <v/>
      </c>
      <c r="E254" s="17">
        <f>IF(INPUT!E254="","",INPUT!E254)</f>
        <v/>
      </c>
      <c r="F254" s="17">
        <f>IF(E254="","",TEXT(E254,"0000000000"))</f>
        <v/>
      </c>
      <c r="G254" s="17">
        <f>IF(B254="","",IFERROR(INDEX(DB!$B:$B,MATCH(B254,DB!$A:$A,0)),"-"))</f>
        <v/>
      </c>
      <c r="H254" s="4">
        <f>IF(B254="","",IF(G254="-","NEW ITEM",IF(F254=TEXT(G254,"0000000000"),"MATCH","MISMATCH")))</f>
        <v/>
      </c>
      <c r="I254" s="4">
        <f>IF(B254="","",IF(G254="-","-",IF(F254&lt;&gt;TEXT(G254,"0000000000"),"CHECK - HS MISMATCH","-")))</f>
        <v/>
      </c>
    </row>
    <row r="255" ht="15" customHeight="1">
      <c r="A255" s="14">
        <f>IF(INPUT!A255="","",INPUT!A255)</f>
        <v/>
      </c>
      <c r="B255" s="14">
        <f>IF(INPUT!B255="","",INPUT!B255)</f>
        <v/>
      </c>
      <c r="C255" s="14">
        <f>IF(INPUT!D255="","",INPUT!D255)</f>
        <v/>
      </c>
      <c r="D255" s="14">
        <f>IF(INPUT!C255="","",INPUT!C255)</f>
        <v/>
      </c>
      <c r="E255" s="15">
        <f>IF(INPUT!E255="","",INPUT!E255)</f>
        <v/>
      </c>
      <c r="F255" s="15">
        <f>IF(E255="","",TEXT(E255,"0000000000"))</f>
        <v/>
      </c>
      <c r="G255" s="15">
        <f>IF(B255="","",IFERROR(INDEX(DB!$B:$B,MATCH(B255,DB!$A:$A,0)),"-"))</f>
        <v/>
      </c>
      <c r="H255" s="6">
        <f>IF(B255="","",IF(G255="-","NEW ITEM",IF(F255=TEXT(G255,"0000000000"),"MATCH","MISMATCH")))</f>
        <v/>
      </c>
      <c r="I255" s="6">
        <f>IF(B255="","",IF(G255="-","-",IF(F255&lt;&gt;TEXT(G255,"0000000000"),"CHECK - HS MISMATCH","-")))</f>
        <v/>
      </c>
    </row>
    <row r="256" ht="15" customHeight="1">
      <c r="A256" s="16">
        <f>IF(INPUT!A256="","",INPUT!A256)</f>
        <v/>
      </c>
      <c r="B256" s="16">
        <f>IF(INPUT!B256="","",INPUT!B256)</f>
        <v/>
      </c>
      <c r="C256" s="16">
        <f>IF(INPUT!D256="","",INPUT!D256)</f>
        <v/>
      </c>
      <c r="D256" s="16">
        <f>IF(INPUT!C256="","",INPUT!C256)</f>
        <v/>
      </c>
      <c r="E256" s="17">
        <f>IF(INPUT!E256="","",INPUT!E256)</f>
        <v/>
      </c>
      <c r="F256" s="17">
        <f>IF(E256="","",TEXT(E256,"0000000000"))</f>
        <v/>
      </c>
      <c r="G256" s="17">
        <f>IF(B256="","",IFERROR(INDEX(DB!$B:$B,MATCH(B256,DB!$A:$A,0)),"-"))</f>
        <v/>
      </c>
      <c r="H256" s="4">
        <f>IF(B256="","",IF(G256="-","NEW ITEM",IF(F256=TEXT(G256,"0000000000"),"MATCH","MISMATCH")))</f>
        <v/>
      </c>
      <c r="I256" s="4">
        <f>IF(B256="","",IF(G256="-","-",IF(F256&lt;&gt;TEXT(G256,"0000000000"),"CHECK - HS MISMATCH","-")))</f>
        <v/>
      </c>
    </row>
    <row r="257" ht="15" customHeight="1">
      <c r="A257" s="14">
        <f>IF(INPUT!A257="","",INPUT!A257)</f>
        <v/>
      </c>
      <c r="B257" s="14">
        <f>IF(INPUT!B257="","",INPUT!B257)</f>
        <v/>
      </c>
      <c r="C257" s="14">
        <f>IF(INPUT!D257="","",INPUT!D257)</f>
        <v/>
      </c>
      <c r="D257" s="14">
        <f>IF(INPUT!C257="","",INPUT!C257)</f>
        <v/>
      </c>
      <c r="E257" s="15">
        <f>IF(INPUT!E257="","",INPUT!E257)</f>
        <v/>
      </c>
      <c r="F257" s="15">
        <f>IF(E257="","",TEXT(E257,"0000000000"))</f>
        <v/>
      </c>
      <c r="G257" s="15">
        <f>IF(B257="","",IFERROR(INDEX(DB!$B:$B,MATCH(B257,DB!$A:$A,0)),"-"))</f>
        <v/>
      </c>
      <c r="H257" s="6">
        <f>IF(B257="","",IF(G257="-","NEW ITEM",IF(F257=TEXT(G257,"0000000000"),"MATCH","MISMATCH")))</f>
        <v/>
      </c>
      <c r="I257" s="6">
        <f>IF(B257="","",IF(G257="-","-",IF(F257&lt;&gt;TEXT(G257,"0000000000"),"CHECK - HS MISMATCH","-")))</f>
        <v/>
      </c>
    </row>
    <row r="258" ht="15" customHeight="1">
      <c r="A258" s="16">
        <f>IF(INPUT!A258="","",INPUT!A258)</f>
        <v/>
      </c>
      <c r="B258" s="16">
        <f>IF(INPUT!B258="","",INPUT!B258)</f>
        <v/>
      </c>
      <c r="C258" s="16">
        <f>IF(INPUT!D258="","",INPUT!D258)</f>
        <v/>
      </c>
      <c r="D258" s="16">
        <f>IF(INPUT!C258="","",INPUT!C258)</f>
        <v/>
      </c>
      <c r="E258" s="17">
        <f>IF(INPUT!E258="","",INPUT!E258)</f>
        <v/>
      </c>
      <c r="F258" s="17">
        <f>IF(E258="","",TEXT(E258,"0000000000"))</f>
        <v/>
      </c>
      <c r="G258" s="17">
        <f>IF(B258="","",IFERROR(INDEX(DB!$B:$B,MATCH(B258,DB!$A:$A,0)),"-"))</f>
        <v/>
      </c>
      <c r="H258" s="4">
        <f>IF(B258="","",IF(G258="-","NEW ITEM",IF(F258=TEXT(G258,"0000000000"),"MATCH","MISMATCH")))</f>
        <v/>
      </c>
      <c r="I258" s="4">
        <f>IF(B258="","",IF(G258="-","-",IF(F258&lt;&gt;TEXT(G258,"0000000000"),"CHECK - HS MISMATCH","-")))</f>
        <v/>
      </c>
    </row>
    <row r="259" ht="15" customHeight="1">
      <c r="A259" s="14">
        <f>IF(INPUT!A259="","",INPUT!A259)</f>
        <v/>
      </c>
      <c r="B259" s="14">
        <f>IF(INPUT!B259="","",INPUT!B259)</f>
        <v/>
      </c>
      <c r="C259" s="14">
        <f>IF(INPUT!D259="","",INPUT!D259)</f>
        <v/>
      </c>
      <c r="D259" s="14">
        <f>IF(INPUT!C259="","",INPUT!C259)</f>
        <v/>
      </c>
      <c r="E259" s="15">
        <f>IF(INPUT!E259="","",INPUT!E259)</f>
        <v/>
      </c>
      <c r="F259" s="15">
        <f>IF(E259="","",TEXT(E259,"0000000000"))</f>
        <v/>
      </c>
      <c r="G259" s="15">
        <f>IF(B259="","",IFERROR(INDEX(DB!$B:$B,MATCH(B259,DB!$A:$A,0)),"-"))</f>
        <v/>
      </c>
      <c r="H259" s="6">
        <f>IF(B259="","",IF(G259="-","NEW ITEM",IF(F259=TEXT(G259,"0000000000"),"MATCH","MISMATCH")))</f>
        <v/>
      </c>
      <c r="I259" s="6">
        <f>IF(B259="","",IF(G259="-","-",IF(F259&lt;&gt;TEXT(G259,"0000000000"),"CHECK - HS MISMATCH","-")))</f>
        <v/>
      </c>
    </row>
    <row r="260" ht="15" customHeight="1">
      <c r="A260" s="16">
        <f>IF(INPUT!A260="","",INPUT!A260)</f>
        <v/>
      </c>
      <c r="B260" s="16">
        <f>IF(INPUT!B260="","",INPUT!B260)</f>
        <v/>
      </c>
      <c r="C260" s="16">
        <f>IF(INPUT!D260="","",INPUT!D260)</f>
        <v/>
      </c>
      <c r="D260" s="16">
        <f>IF(INPUT!C260="","",INPUT!C260)</f>
        <v/>
      </c>
      <c r="E260" s="17">
        <f>IF(INPUT!E260="","",INPUT!E260)</f>
        <v/>
      </c>
      <c r="F260" s="17">
        <f>IF(E260="","",TEXT(E260,"0000000000"))</f>
        <v/>
      </c>
      <c r="G260" s="17">
        <f>IF(B260="","",IFERROR(INDEX(DB!$B:$B,MATCH(B260,DB!$A:$A,0)),"-"))</f>
        <v/>
      </c>
      <c r="H260" s="4">
        <f>IF(B260="","",IF(G260="-","NEW ITEM",IF(F260=TEXT(G260,"0000000000"),"MATCH","MISMATCH")))</f>
        <v/>
      </c>
      <c r="I260" s="4">
        <f>IF(B260="","",IF(G260="-","-",IF(F260&lt;&gt;TEXT(G260,"0000000000"),"CHECK - HS MISMATCH","-")))</f>
        <v/>
      </c>
    </row>
    <row r="261" ht="15" customHeight="1">
      <c r="A261" s="14">
        <f>IF(INPUT!A261="","",INPUT!A261)</f>
        <v/>
      </c>
      <c r="B261" s="14">
        <f>IF(INPUT!B261="","",INPUT!B261)</f>
        <v/>
      </c>
      <c r="C261" s="14">
        <f>IF(INPUT!D261="","",INPUT!D261)</f>
        <v/>
      </c>
      <c r="D261" s="14">
        <f>IF(INPUT!C261="","",INPUT!C261)</f>
        <v/>
      </c>
      <c r="E261" s="15">
        <f>IF(INPUT!E261="","",INPUT!E261)</f>
        <v/>
      </c>
      <c r="F261" s="15">
        <f>IF(E261="","",TEXT(E261,"0000000000"))</f>
        <v/>
      </c>
      <c r="G261" s="15">
        <f>IF(B261="","",IFERROR(INDEX(DB!$B:$B,MATCH(B261,DB!$A:$A,0)),"-"))</f>
        <v/>
      </c>
      <c r="H261" s="6">
        <f>IF(B261="","",IF(G261="-","NEW ITEM",IF(F261=TEXT(G261,"0000000000"),"MATCH","MISMATCH")))</f>
        <v/>
      </c>
      <c r="I261" s="6">
        <f>IF(B261="","",IF(G261="-","-",IF(F261&lt;&gt;TEXT(G261,"0000000000"),"CHECK - HS MISMATCH","-")))</f>
        <v/>
      </c>
    </row>
    <row r="262" ht="15" customHeight="1">
      <c r="A262" s="16">
        <f>IF(INPUT!A262="","",INPUT!A262)</f>
        <v/>
      </c>
      <c r="B262" s="16">
        <f>IF(INPUT!B262="","",INPUT!B262)</f>
        <v/>
      </c>
      <c r="C262" s="16">
        <f>IF(INPUT!D262="","",INPUT!D262)</f>
        <v/>
      </c>
      <c r="D262" s="16">
        <f>IF(INPUT!C262="","",INPUT!C262)</f>
        <v/>
      </c>
      <c r="E262" s="17">
        <f>IF(INPUT!E262="","",INPUT!E262)</f>
        <v/>
      </c>
      <c r="F262" s="17">
        <f>IF(E262="","",TEXT(E262,"0000000000"))</f>
        <v/>
      </c>
      <c r="G262" s="17">
        <f>IF(B262="","",IFERROR(INDEX(DB!$B:$B,MATCH(B262,DB!$A:$A,0)),"-"))</f>
        <v/>
      </c>
      <c r="H262" s="4">
        <f>IF(B262="","",IF(G262="-","NEW ITEM",IF(F262=TEXT(G262,"0000000000"),"MATCH","MISMATCH")))</f>
        <v/>
      </c>
      <c r="I262" s="4">
        <f>IF(B262="","",IF(G262="-","-",IF(F262&lt;&gt;TEXT(G262,"0000000000"),"CHECK - HS MISMATCH","-")))</f>
        <v/>
      </c>
    </row>
    <row r="263" ht="15" customHeight="1">
      <c r="A263" s="14">
        <f>IF(INPUT!A263="","",INPUT!A263)</f>
        <v/>
      </c>
      <c r="B263" s="14">
        <f>IF(INPUT!B263="","",INPUT!B263)</f>
        <v/>
      </c>
      <c r="C263" s="14">
        <f>IF(INPUT!D263="","",INPUT!D263)</f>
        <v/>
      </c>
      <c r="D263" s="14">
        <f>IF(INPUT!C263="","",INPUT!C263)</f>
        <v/>
      </c>
      <c r="E263" s="15">
        <f>IF(INPUT!E263="","",INPUT!E263)</f>
        <v/>
      </c>
      <c r="F263" s="15">
        <f>IF(E263="","",TEXT(E263,"0000000000"))</f>
        <v/>
      </c>
      <c r="G263" s="15">
        <f>IF(B263="","",IFERROR(INDEX(DB!$B:$B,MATCH(B263,DB!$A:$A,0)),"-"))</f>
        <v/>
      </c>
      <c r="H263" s="6">
        <f>IF(B263="","",IF(G263="-","NEW ITEM",IF(F263=TEXT(G263,"0000000000"),"MATCH","MISMATCH")))</f>
        <v/>
      </c>
      <c r="I263" s="6">
        <f>IF(B263="","",IF(G263="-","-",IF(F263&lt;&gt;TEXT(G263,"0000000000"),"CHECK - HS MISMATCH","-")))</f>
        <v/>
      </c>
    </row>
    <row r="264" ht="15" customHeight="1">
      <c r="A264" s="16">
        <f>IF(INPUT!A264="","",INPUT!A264)</f>
        <v/>
      </c>
      <c r="B264" s="16">
        <f>IF(INPUT!B264="","",INPUT!B264)</f>
        <v/>
      </c>
      <c r="C264" s="16">
        <f>IF(INPUT!D264="","",INPUT!D264)</f>
        <v/>
      </c>
      <c r="D264" s="16">
        <f>IF(INPUT!C264="","",INPUT!C264)</f>
        <v/>
      </c>
      <c r="E264" s="17">
        <f>IF(INPUT!E264="","",INPUT!E264)</f>
        <v/>
      </c>
      <c r="F264" s="17">
        <f>IF(E264="","",TEXT(E264,"0000000000"))</f>
        <v/>
      </c>
      <c r="G264" s="17">
        <f>IF(B264="","",IFERROR(INDEX(DB!$B:$B,MATCH(B264,DB!$A:$A,0)),"-"))</f>
        <v/>
      </c>
      <c r="H264" s="4">
        <f>IF(B264="","",IF(G264="-","NEW ITEM",IF(F264=TEXT(G264,"0000000000"),"MATCH","MISMATCH")))</f>
        <v/>
      </c>
      <c r="I264" s="4">
        <f>IF(B264="","",IF(G264="-","-",IF(F264&lt;&gt;TEXT(G264,"0000000000"),"CHECK - HS MISMATCH","-")))</f>
        <v/>
      </c>
    </row>
    <row r="265" ht="15" customHeight="1">
      <c r="A265" s="14">
        <f>IF(INPUT!A265="","",INPUT!A265)</f>
        <v/>
      </c>
      <c r="B265" s="14">
        <f>IF(INPUT!B265="","",INPUT!B265)</f>
        <v/>
      </c>
      <c r="C265" s="14">
        <f>IF(INPUT!D265="","",INPUT!D265)</f>
        <v/>
      </c>
      <c r="D265" s="14">
        <f>IF(INPUT!C265="","",INPUT!C265)</f>
        <v/>
      </c>
      <c r="E265" s="15">
        <f>IF(INPUT!E265="","",INPUT!E265)</f>
        <v/>
      </c>
      <c r="F265" s="15">
        <f>IF(E265="","",TEXT(E265,"0000000000"))</f>
        <v/>
      </c>
      <c r="G265" s="15">
        <f>IF(B265="","",IFERROR(INDEX(DB!$B:$B,MATCH(B265,DB!$A:$A,0)),"-"))</f>
        <v/>
      </c>
      <c r="H265" s="6">
        <f>IF(B265="","",IF(G265="-","NEW ITEM",IF(F265=TEXT(G265,"0000000000"),"MATCH","MISMATCH")))</f>
        <v/>
      </c>
      <c r="I265" s="6">
        <f>IF(B265="","",IF(G265="-","-",IF(F265&lt;&gt;TEXT(G265,"0000000000"),"CHECK - HS MISMATCH","-")))</f>
        <v/>
      </c>
    </row>
    <row r="266" ht="15" customHeight="1">
      <c r="A266" s="16">
        <f>IF(INPUT!A266="","",INPUT!A266)</f>
        <v/>
      </c>
      <c r="B266" s="16">
        <f>IF(INPUT!B266="","",INPUT!B266)</f>
        <v/>
      </c>
      <c r="C266" s="16">
        <f>IF(INPUT!D266="","",INPUT!D266)</f>
        <v/>
      </c>
      <c r="D266" s="16">
        <f>IF(INPUT!C266="","",INPUT!C266)</f>
        <v/>
      </c>
      <c r="E266" s="17">
        <f>IF(INPUT!E266="","",INPUT!E266)</f>
        <v/>
      </c>
      <c r="F266" s="17">
        <f>IF(E266="","",TEXT(E266,"0000000000"))</f>
        <v/>
      </c>
      <c r="G266" s="17">
        <f>IF(B266="","",IFERROR(INDEX(DB!$B:$B,MATCH(B266,DB!$A:$A,0)),"-"))</f>
        <v/>
      </c>
      <c r="H266" s="4">
        <f>IF(B266="","",IF(G266="-","NEW ITEM",IF(F266=TEXT(G266,"0000000000"),"MATCH","MISMATCH")))</f>
        <v/>
      </c>
      <c r="I266" s="4">
        <f>IF(B266="","",IF(G266="-","-",IF(F266&lt;&gt;TEXT(G266,"0000000000"),"CHECK - HS MISMATCH","-")))</f>
        <v/>
      </c>
    </row>
    <row r="267" ht="15" customHeight="1">
      <c r="A267" s="14">
        <f>IF(INPUT!A267="","",INPUT!A267)</f>
        <v/>
      </c>
      <c r="B267" s="14">
        <f>IF(INPUT!B267="","",INPUT!B267)</f>
        <v/>
      </c>
      <c r="C267" s="14">
        <f>IF(INPUT!D267="","",INPUT!D267)</f>
        <v/>
      </c>
      <c r="D267" s="14">
        <f>IF(INPUT!C267="","",INPUT!C267)</f>
        <v/>
      </c>
      <c r="E267" s="15">
        <f>IF(INPUT!E267="","",INPUT!E267)</f>
        <v/>
      </c>
      <c r="F267" s="15">
        <f>IF(E267="","",TEXT(E267,"0000000000"))</f>
        <v/>
      </c>
      <c r="G267" s="15">
        <f>IF(B267="","",IFERROR(INDEX(DB!$B:$B,MATCH(B267,DB!$A:$A,0)),"-"))</f>
        <v/>
      </c>
      <c r="H267" s="6">
        <f>IF(B267="","",IF(G267="-","NEW ITEM",IF(F267=TEXT(G267,"0000000000"),"MATCH","MISMATCH")))</f>
        <v/>
      </c>
      <c r="I267" s="6">
        <f>IF(B267="","",IF(G267="-","-",IF(F267&lt;&gt;TEXT(G267,"0000000000"),"CHECK - HS MISMATCH","-")))</f>
        <v/>
      </c>
    </row>
    <row r="268" ht="15" customHeight="1">
      <c r="A268" s="16">
        <f>IF(INPUT!A268="","",INPUT!A268)</f>
        <v/>
      </c>
      <c r="B268" s="16">
        <f>IF(INPUT!B268="","",INPUT!B268)</f>
        <v/>
      </c>
      <c r="C268" s="16">
        <f>IF(INPUT!D268="","",INPUT!D268)</f>
        <v/>
      </c>
      <c r="D268" s="16">
        <f>IF(INPUT!C268="","",INPUT!C268)</f>
        <v/>
      </c>
      <c r="E268" s="17">
        <f>IF(INPUT!E268="","",INPUT!E268)</f>
        <v/>
      </c>
      <c r="F268" s="17">
        <f>IF(E268="","",TEXT(E268,"0000000000"))</f>
        <v/>
      </c>
      <c r="G268" s="17">
        <f>IF(B268="","",IFERROR(INDEX(DB!$B:$B,MATCH(B268,DB!$A:$A,0)),"-"))</f>
        <v/>
      </c>
      <c r="H268" s="4">
        <f>IF(B268="","",IF(G268="-","NEW ITEM",IF(F268=TEXT(G268,"0000000000"),"MATCH","MISMATCH")))</f>
        <v/>
      </c>
      <c r="I268" s="4">
        <f>IF(B268="","",IF(G268="-","-",IF(F268&lt;&gt;TEXT(G268,"0000000000"),"CHECK - HS MISMATCH","-")))</f>
        <v/>
      </c>
    </row>
    <row r="269" ht="15" customHeight="1">
      <c r="A269" s="14">
        <f>IF(INPUT!A269="","",INPUT!A269)</f>
        <v/>
      </c>
      <c r="B269" s="14">
        <f>IF(INPUT!B269="","",INPUT!B269)</f>
        <v/>
      </c>
      <c r="C269" s="14">
        <f>IF(INPUT!D269="","",INPUT!D269)</f>
        <v/>
      </c>
      <c r="D269" s="14">
        <f>IF(INPUT!C269="","",INPUT!C269)</f>
        <v/>
      </c>
      <c r="E269" s="15">
        <f>IF(INPUT!E269="","",INPUT!E269)</f>
        <v/>
      </c>
      <c r="F269" s="15">
        <f>IF(E269="","",TEXT(E269,"0000000000"))</f>
        <v/>
      </c>
      <c r="G269" s="15">
        <f>IF(B269="","",IFERROR(INDEX(DB!$B:$B,MATCH(B269,DB!$A:$A,0)),"-"))</f>
        <v/>
      </c>
      <c r="H269" s="6">
        <f>IF(B269="","",IF(G269="-","NEW ITEM",IF(F269=TEXT(G269,"0000000000"),"MATCH","MISMATCH")))</f>
        <v/>
      </c>
      <c r="I269" s="6">
        <f>IF(B269="","",IF(G269="-","-",IF(F269&lt;&gt;TEXT(G269,"0000000000"),"CHECK - HS MISMATCH","-")))</f>
        <v/>
      </c>
    </row>
    <row r="270" ht="15" customHeight="1">
      <c r="A270" s="16">
        <f>IF(INPUT!A270="","",INPUT!A270)</f>
        <v/>
      </c>
      <c r="B270" s="16">
        <f>IF(INPUT!B270="","",INPUT!B270)</f>
        <v/>
      </c>
      <c r="C270" s="16">
        <f>IF(INPUT!D270="","",INPUT!D270)</f>
        <v/>
      </c>
      <c r="D270" s="16">
        <f>IF(INPUT!C270="","",INPUT!C270)</f>
        <v/>
      </c>
      <c r="E270" s="17">
        <f>IF(INPUT!E270="","",INPUT!E270)</f>
        <v/>
      </c>
      <c r="F270" s="17">
        <f>IF(E270="","",TEXT(E270,"0000000000"))</f>
        <v/>
      </c>
      <c r="G270" s="17">
        <f>IF(B270="","",IFERROR(INDEX(DB!$B:$B,MATCH(B270,DB!$A:$A,0)),"-"))</f>
        <v/>
      </c>
      <c r="H270" s="4">
        <f>IF(B270="","",IF(G270="-","NEW ITEM",IF(F270=TEXT(G270,"0000000000"),"MATCH","MISMATCH")))</f>
        <v/>
      </c>
      <c r="I270" s="4">
        <f>IF(B270="","",IF(G270="-","-",IF(F270&lt;&gt;TEXT(G270,"0000000000"),"CHECK - HS MISMATCH","-")))</f>
        <v/>
      </c>
    </row>
    <row r="271" ht="15" customHeight="1">
      <c r="A271" s="14">
        <f>IF(INPUT!A271="","",INPUT!A271)</f>
        <v/>
      </c>
      <c r="B271" s="14">
        <f>IF(INPUT!B271="","",INPUT!B271)</f>
        <v/>
      </c>
      <c r="C271" s="14">
        <f>IF(INPUT!D271="","",INPUT!D271)</f>
        <v/>
      </c>
      <c r="D271" s="14">
        <f>IF(INPUT!C271="","",INPUT!C271)</f>
        <v/>
      </c>
      <c r="E271" s="15">
        <f>IF(INPUT!E271="","",INPUT!E271)</f>
        <v/>
      </c>
      <c r="F271" s="15">
        <f>IF(E271="","",TEXT(E271,"0000000000"))</f>
        <v/>
      </c>
      <c r="G271" s="15">
        <f>IF(B271="","",IFERROR(INDEX(DB!$B:$B,MATCH(B271,DB!$A:$A,0)),"-"))</f>
        <v/>
      </c>
      <c r="H271" s="6">
        <f>IF(B271="","",IF(G271="-","NEW ITEM",IF(F271=TEXT(G271,"0000000000"),"MATCH","MISMATCH")))</f>
        <v/>
      </c>
      <c r="I271" s="6">
        <f>IF(B271="","",IF(G271="-","-",IF(F271&lt;&gt;TEXT(G271,"0000000000"),"CHECK - HS MISMATCH","-")))</f>
        <v/>
      </c>
    </row>
    <row r="272" ht="15" customHeight="1">
      <c r="A272" s="16">
        <f>IF(INPUT!A272="","",INPUT!A272)</f>
        <v/>
      </c>
      <c r="B272" s="16">
        <f>IF(INPUT!B272="","",INPUT!B272)</f>
        <v/>
      </c>
      <c r="C272" s="16">
        <f>IF(INPUT!D272="","",INPUT!D272)</f>
        <v/>
      </c>
      <c r="D272" s="16">
        <f>IF(INPUT!C272="","",INPUT!C272)</f>
        <v/>
      </c>
      <c r="E272" s="17">
        <f>IF(INPUT!E272="","",INPUT!E272)</f>
        <v/>
      </c>
      <c r="F272" s="17">
        <f>IF(E272="","",TEXT(E272,"0000000000"))</f>
        <v/>
      </c>
      <c r="G272" s="17">
        <f>IF(B272="","",IFERROR(INDEX(DB!$B:$B,MATCH(B272,DB!$A:$A,0)),"-"))</f>
        <v/>
      </c>
      <c r="H272" s="4">
        <f>IF(B272="","",IF(G272="-","NEW ITEM",IF(F272=TEXT(G272,"0000000000"),"MATCH","MISMATCH")))</f>
        <v/>
      </c>
      <c r="I272" s="4">
        <f>IF(B272="","",IF(G272="-","-",IF(F272&lt;&gt;TEXT(G272,"0000000000"),"CHECK - HS MISMATCH","-")))</f>
        <v/>
      </c>
    </row>
    <row r="273" ht="15" customHeight="1">
      <c r="A273" s="14">
        <f>IF(INPUT!A273="","",INPUT!A273)</f>
        <v/>
      </c>
      <c r="B273" s="14">
        <f>IF(INPUT!B273="","",INPUT!B273)</f>
        <v/>
      </c>
      <c r="C273" s="14">
        <f>IF(INPUT!D273="","",INPUT!D273)</f>
        <v/>
      </c>
      <c r="D273" s="14">
        <f>IF(INPUT!C273="","",INPUT!C273)</f>
        <v/>
      </c>
      <c r="E273" s="15">
        <f>IF(INPUT!E273="","",INPUT!E273)</f>
        <v/>
      </c>
      <c r="F273" s="15">
        <f>IF(E273="","",TEXT(E273,"0000000000"))</f>
        <v/>
      </c>
      <c r="G273" s="15">
        <f>IF(B273="","",IFERROR(INDEX(DB!$B:$B,MATCH(B273,DB!$A:$A,0)),"-"))</f>
        <v/>
      </c>
      <c r="H273" s="6">
        <f>IF(B273="","",IF(G273="-","NEW ITEM",IF(F273=TEXT(G273,"0000000000"),"MATCH","MISMATCH")))</f>
        <v/>
      </c>
      <c r="I273" s="6">
        <f>IF(B273="","",IF(G273="-","-",IF(F273&lt;&gt;TEXT(G273,"0000000000"),"CHECK - HS MISMATCH","-")))</f>
        <v/>
      </c>
    </row>
    <row r="274" ht="15" customHeight="1">
      <c r="A274" s="16">
        <f>IF(INPUT!A274="","",INPUT!A274)</f>
        <v/>
      </c>
      <c r="B274" s="16">
        <f>IF(INPUT!B274="","",INPUT!B274)</f>
        <v/>
      </c>
      <c r="C274" s="16">
        <f>IF(INPUT!D274="","",INPUT!D274)</f>
        <v/>
      </c>
      <c r="D274" s="16">
        <f>IF(INPUT!C274="","",INPUT!C274)</f>
        <v/>
      </c>
      <c r="E274" s="17">
        <f>IF(INPUT!E274="","",INPUT!E274)</f>
        <v/>
      </c>
      <c r="F274" s="17">
        <f>IF(E274="","",TEXT(E274,"0000000000"))</f>
        <v/>
      </c>
      <c r="G274" s="17">
        <f>IF(B274="","",IFERROR(INDEX(DB!$B:$B,MATCH(B274,DB!$A:$A,0)),"-"))</f>
        <v/>
      </c>
      <c r="H274" s="4">
        <f>IF(B274="","",IF(G274="-","NEW ITEM",IF(F274=TEXT(G274,"0000000000"),"MATCH","MISMATCH")))</f>
        <v/>
      </c>
      <c r="I274" s="4">
        <f>IF(B274="","",IF(G274="-","-",IF(F274&lt;&gt;TEXT(G274,"0000000000"),"CHECK - HS MISMATCH","-")))</f>
        <v/>
      </c>
    </row>
    <row r="275" ht="15" customHeight="1">
      <c r="A275" s="14">
        <f>IF(INPUT!A275="","",INPUT!A275)</f>
        <v/>
      </c>
      <c r="B275" s="14">
        <f>IF(INPUT!B275="","",INPUT!B275)</f>
        <v/>
      </c>
      <c r="C275" s="14">
        <f>IF(INPUT!D275="","",INPUT!D275)</f>
        <v/>
      </c>
      <c r="D275" s="14">
        <f>IF(INPUT!C275="","",INPUT!C275)</f>
        <v/>
      </c>
      <c r="E275" s="15">
        <f>IF(INPUT!E275="","",INPUT!E275)</f>
        <v/>
      </c>
      <c r="F275" s="15">
        <f>IF(E275="","",TEXT(E275,"0000000000"))</f>
        <v/>
      </c>
      <c r="G275" s="15">
        <f>IF(B275="","",IFERROR(INDEX(DB!$B:$B,MATCH(B275,DB!$A:$A,0)),"-"))</f>
        <v/>
      </c>
      <c r="H275" s="6">
        <f>IF(B275="","",IF(G275="-","NEW ITEM",IF(F275=TEXT(G275,"0000000000"),"MATCH","MISMATCH")))</f>
        <v/>
      </c>
      <c r="I275" s="6">
        <f>IF(B275="","",IF(G275="-","-",IF(F275&lt;&gt;TEXT(G275,"0000000000"),"CHECK - HS MISMATCH","-")))</f>
        <v/>
      </c>
    </row>
    <row r="276" ht="15" customHeight="1">
      <c r="A276" s="16">
        <f>IF(INPUT!A276="","",INPUT!A276)</f>
        <v/>
      </c>
      <c r="B276" s="16">
        <f>IF(INPUT!B276="","",INPUT!B276)</f>
        <v/>
      </c>
      <c r="C276" s="16">
        <f>IF(INPUT!D276="","",INPUT!D276)</f>
        <v/>
      </c>
      <c r="D276" s="16">
        <f>IF(INPUT!C276="","",INPUT!C276)</f>
        <v/>
      </c>
      <c r="E276" s="17">
        <f>IF(INPUT!E276="","",INPUT!E276)</f>
        <v/>
      </c>
      <c r="F276" s="17">
        <f>IF(E276="","",TEXT(E276,"0000000000"))</f>
        <v/>
      </c>
      <c r="G276" s="17">
        <f>IF(B276="","",IFERROR(INDEX(DB!$B:$B,MATCH(B276,DB!$A:$A,0)),"-"))</f>
        <v/>
      </c>
      <c r="H276" s="4">
        <f>IF(B276="","",IF(G276="-","NEW ITEM",IF(F276=TEXT(G276,"0000000000"),"MATCH","MISMATCH")))</f>
        <v/>
      </c>
      <c r="I276" s="4">
        <f>IF(B276="","",IF(G276="-","-",IF(F276&lt;&gt;TEXT(G276,"0000000000"),"CHECK - HS MISMATCH","-")))</f>
        <v/>
      </c>
    </row>
    <row r="277" ht="15" customHeight="1">
      <c r="A277" s="14">
        <f>IF(INPUT!A277="","",INPUT!A277)</f>
        <v/>
      </c>
      <c r="B277" s="14">
        <f>IF(INPUT!B277="","",INPUT!B277)</f>
        <v/>
      </c>
      <c r="C277" s="14">
        <f>IF(INPUT!D277="","",INPUT!D277)</f>
        <v/>
      </c>
      <c r="D277" s="14">
        <f>IF(INPUT!C277="","",INPUT!C277)</f>
        <v/>
      </c>
      <c r="E277" s="15">
        <f>IF(INPUT!E277="","",INPUT!E277)</f>
        <v/>
      </c>
      <c r="F277" s="15">
        <f>IF(E277="","",TEXT(E277,"0000000000"))</f>
        <v/>
      </c>
      <c r="G277" s="15">
        <f>IF(B277="","",IFERROR(INDEX(DB!$B:$B,MATCH(B277,DB!$A:$A,0)),"-"))</f>
        <v/>
      </c>
      <c r="H277" s="6">
        <f>IF(B277="","",IF(G277="-","NEW ITEM",IF(F277=TEXT(G277,"0000000000"),"MATCH","MISMATCH")))</f>
        <v/>
      </c>
      <c r="I277" s="6">
        <f>IF(B277="","",IF(G277="-","-",IF(F277&lt;&gt;TEXT(G277,"0000000000"),"CHECK - HS MISMATCH","-")))</f>
        <v/>
      </c>
    </row>
    <row r="278" ht="15" customHeight="1">
      <c r="A278" s="16">
        <f>IF(INPUT!A278="","",INPUT!A278)</f>
        <v/>
      </c>
      <c r="B278" s="16">
        <f>IF(INPUT!B278="","",INPUT!B278)</f>
        <v/>
      </c>
      <c r="C278" s="16">
        <f>IF(INPUT!D278="","",INPUT!D278)</f>
        <v/>
      </c>
      <c r="D278" s="16">
        <f>IF(INPUT!C278="","",INPUT!C278)</f>
        <v/>
      </c>
      <c r="E278" s="17">
        <f>IF(INPUT!E278="","",INPUT!E278)</f>
        <v/>
      </c>
      <c r="F278" s="17">
        <f>IF(E278="","",TEXT(E278,"0000000000"))</f>
        <v/>
      </c>
      <c r="G278" s="17">
        <f>IF(B278="","",IFERROR(INDEX(DB!$B:$B,MATCH(B278,DB!$A:$A,0)),"-"))</f>
        <v/>
      </c>
      <c r="H278" s="4">
        <f>IF(B278="","",IF(G278="-","NEW ITEM",IF(F278=TEXT(G278,"0000000000"),"MATCH","MISMATCH")))</f>
        <v/>
      </c>
      <c r="I278" s="4">
        <f>IF(B278="","",IF(G278="-","-",IF(F278&lt;&gt;TEXT(G278,"0000000000"),"CHECK - HS MISMATCH","-")))</f>
        <v/>
      </c>
    </row>
    <row r="279" ht="15" customHeight="1">
      <c r="A279" s="14">
        <f>IF(INPUT!A279="","",INPUT!A279)</f>
        <v/>
      </c>
      <c r="B279" s="14">
        <f>IF(INPUT!B279="","",INPUT!B279)</f>
        <v/>
      </c>
      <c r="C279" s="14">
        <f>IF(INPUT!D279="","",INPUT!D279)</f>
        <v/>
      </c>
      <c r="D279" s="14">
        <f>IF(INPUT!C279="","",INPUT!C279)</f>
        <v/>
      </c>
      <c r="E279" s="15">
        <f>IF(INPUT!E279="","",INPUT!E279)</f>
        <v/>
      </c>
      <c r="F279" s="15">
        <f>IF(E279="","",TEXT(E279,"0000000000"))</f>
        <v/>
      </c>
      <c r="G279" s="15">
        <f>IF(B279="","",IFERROR(INDEX(DB!$B:$B,MATCH(B279,DB!$A:$A,0)),"-"))</f>
        <v/>
      </c>
      <c r="H279" s="6">
        <f>IF(B279="","",IF(G279="-","NEW ITEM",IF(F279=TEXT(G279,"0000000000"),"MATCH","MISMATCH")))</f>
        <v/>
      </c>
      <c r="I279" s="6">
        <f>IF(B279="","",IF(G279="-","-",IF(F279&lt;&gt;TEXT(G279,"0000000000"),"CHECK - HS MISMATCH","-")))</f>
        <v/>
      </c>
    </row>
    <row r="280" ht="15" customHeight="1">
      <c r="A280" s="16">
        <f>IF(INPUT!A280="","",INPUT!A280)</f>
        <v/>
      </c>
      <c r="B280" s="16">
        <f>IF(INPUT!B280="","",INPUT!B280)</f>
        <v/>
      </c>
      <c r="C280" s="16">
        <f>IF(INPUT!D280="","",INPUT!D280)</f>
        <v/>
      </c>
      <c r="D280" s="16">
        <f>IF(INPUT!C280="","",INPUT!C280)</f>
        <v/>
      </c>
      <c r="E280" s="17">
        <f>IF(INPUT!E280="","",INPUT!E280)</f>
        <v/>
      </c>
      <c r="F280" s="17">
        <f>IF(E280="","",TEXT(E280,"0000000000"))</f>
        <v/>
      </c>
      <c r="G280" s="17">
        <f>IF(B280="","",IFERROR(INDEX(DB!$B:$B,MATCH(B280,DB!$A:$A,0)),"-"))</f>
        <v/>
      </c>
      <c r="H280" s="4">
        <f>IF(B280="","",IF(G280="-","NEW ITEM",IF(F280=TEXT(G280,"0000000000"),"MATCH","MISMATCH")))</f>
        <v/>
      </c>
      <c r="I280" s="4">
        <f>IF(B280="","",IF(G280="-","-",IF(F280&lt;&gt;TEXT(G280,"0000000000"),"CHECK - HS MISMATCH","-")))</f>
        <v/>
      </c>
    </row>
    <row r="281" ht="15" customHeight="1">
      <c r="A281" s="14">
        <f>IF(INPUT!A281="","",INPUT!A281)</f>
        <v/>
      </c>
      <c r="B281" s="14">
        <f>IF(INPUT!B281="","",INPUT!B281)</f>
        <v/>
      </c>
      <c r="C281" s="14">
        <f>IF(INPUT!D281="","",INPUT!D281)</f>
        <v/>
      </c>
      <c r="D281" s="14">
        <f>IF(INPUT!C281="","",INPUT!C281)</f>
        <v/>
      </c>
      <c r="E281" s="15">
        <f>IF(INPUT!E281="","",INPUT!E281)</f>
        <v/>
      </c>
      <c r="F281" s="15">
        <f>IF(E281="","",TEXT(E281,"0000000000"))</f>
        <v/>
      </c>
      <c r="G281" s="15">
        <f>IF(B281="","",IFERROR(INDEX(DB!$B:$B,MATCH(B281,DB!$A:$A,0)),"-"))</f>
        <v/>
      </c>
      <c r="H281" s="6">
        <f>IF(B281="","",IF(G281="-","NEW ITEM",IF(F281=TEXT(G281,"0000000000"),"MATCH","MISMATCH")))</f>
        <v/>
      </c>
      <c r="I281" s="6">
        <f>IF(B281="","",IF(G281="-","-",IF(F281&lt;&gt;TEXT(G281,"0000000000"),"CHECK - HS MISMATCH","-")))</f>
        <v/>
      </c>
    </row>
    <row r="282" ht="15" customHeight="1">
      <c r="A282" s="16">
        <f>IF(INPUT!A282="","",INPUT!A282)</f>
        <v/>
      </c>
      <c r="B282" s="16">
        <f>IF(INPUT!B282="","",INPUT!B282)</f>
        <v/>
      </c>
      <c r="C282" s="16">
        <f>IF(INPUT!D282="","",INPUT!D282)</f>
        <v/>
      </c>
      <c r="D282" s="16">
        <f>IF(INPUT!C282="","",INPUT!C282)</f>
        <v/>
      </c>
      <c r="E282" s="17">
        <f>IF(INPUT!E282="","",INPUT!E282)</f>
        <v/>
      </c>
      <c r="F282" s="17">
        <f>IF(E282="","",TEXT(E282,"0000000000"))</f>
        <v/>
      </c>
      <c r="G282" s="17">
        <f>IF(B282="","",IFERROR(INDEX(DB!$B:$B,MATCH(B282,DB!$A:$A,0)),"-"))</f>
        <v/>
      </c>
      <c r="H282" s="4">
        <f>IF(B282="","",IF(G282="-","NEW ITEM",IF(F282=TEXT(G282,"0000000000"),"MATCH","MISMATCH")))</f>
        <v/>
      </c>
      <c r="I282" s="4">
        <f>IF(B282="","",IF(G282="-","-",IF(F282&lt;&gt;TEXT(G282,"0000000000"),"CHECK - HS MISMATCH","-")))</f>
        <v/>
      </c>
    </row>
    <row r="283" ht="15" customHeight="1">
      <c r="A283" s="14">
        <f>IF(INPUT!A283="","",INPUT!A283)</f>
        <v/>
      </c>
      <c r="B283" s="14">
        <f>IF(INPUT!B283="","",INPUT!B283)</f>
        <v/>
      </c>
      <c r="C283" s="14">
        <f>IF(INPUT!D283="","",INPUT!D283)</f>
        <v/>
      </c>
      <c r="D283" s="14">
        <f>IF(INPUT!C283="","",INPUT!C283)</f>
        <v/>
      </c>
      <c r="E283" s="15">
        <f>IF(INPUT!E283="","",INPUT!E283)</f>
        <v/>
      </c>
      <c r="F283" s="15">
        <f>IF(E283="","",TEXT(E283,"0000000000"))</f>
        <v/>
      </c>
      <c r="G283" s="15">
        <f>IF(B283="","",IFERROR(INDEX(DB!$B:$B,MATCH(B283,DB!$A:$A,0)),"-"))</f>
        <v/>
      </c>
      <c r="H283" s="6">
        <f>IF(B283="","",IF(G283="-","NEW ITEM",IF(F283=TEXT(G283,"0000000000"),"MATCH","MISMATCH")))</f>
        <v/>
      </c>
      <c r="I283" s="6">
        <f>IF(B283="","",IF(G283="-","-",IF(F283&lt;&gt;TEXT(G283,"0000000000"),"CHECK - HS MISMATCH","-")))</f>
        <v/>
      </c>
    </row>
    <row r="284" ht="15" customHeight="1">
      <c r="A284" s="16">
        <f>IF(INPUT!A284="","",INPUT!A284)</f>
        <v/>
      </c>
      <c r="B284" s="16">
        <f>IF(INPUT!B284="","",INPUT!B284)</f>
        <v/>
      </c>
      <c r="C284" s="16">
        <f>IF(INPUT!D284="","",INPUT!D284)</f>
        <v/>
      </c>
      <c r="D284" s="16">
        <f>IF(INPUT!C284="","",INPUT!C284)</f>
        <v/>
      </c>
      <c r="E284" s="17">
        <f>IF(INPUT!E284="","",INPUT!E284)</f>
        <v/>
      </c>
      <c r="F284" s="17">
        <f>IF(E284="","",TEXT(E284,"0000000000"))</f>
        <v/>
      </c>
      <c r="G284" s="17">
        <f>IF(B284="","",IFERROR(INDEX(DB!$B:$B,MATCH(B284,DB!$A:$A,0)),"-"))</f>
        <v/>
      </c>
      <c r="H284" s="4">
        <f>IF(B284="","",IF(G284="-","NEW ITEM",IF(F284=TEXT(G284,"0000000000"),"MATCH","MISMATCH")))</f>
        <v/>
      </c>
      <c r="I284" s="4">
        <f>IF(B284="","",IF(G284="-","-",IF(F284&lt;&gt;TEXT(G284,"0000000000"),"CHECK - HS MISMATCH","-")))</f>
        <v/>
      </c>
    </row>
    <row r="285" ht="15" customHeight="1">
      <c r="A285" s="14">
        <f>IF(INPUT!A285="","",INPUT!A285)</f>
        <v/>
      </c>
      <c r="B285" s="14">
        <f>IF(INPUT!B285="","",INPUT!B285)</f>
        <v/>
      </c>
      <c r="C285" s="14">
        <f>IF(INPUT!D285="","",INPUT!D285)</f>
        <v/>
      </c>
      <c r="D285" s="14">
        <f>IF(INPUT!C285="","",INPUT!C285)</f>
        <v/>
      </c>
      <c r="E285" s="15">
        <f>IF(INPUT!E285="","",INPUT!E285)</f>
        <v/>
      </c>
      <c r="F285" s="15">
        <f>IF(E285="","",TEXT(E285,"0000000000"))</f>
        <v/>
      </c>
      <c r="G285" s="15">
        <f>IF(B285="","",IFERROR(INDEX(DB!$B:$B,MATCH(B285,DB!$A:$A,0)),"-"))</f>
        <v/>
      </c>
      <c r="H285" s="6">
        <f>IF(B285="","",IF(G285="-","NEW ITEM",IF(F285=TEXT(G285,"0000000000"),"MATCH","MISMATCH")))</f>
        <v/>
      </c>
      <c r="I285" s="6">
        <f>IF(B285="","",IF(G285="-","-",IF(F285&lt;&gt;TEXT(G285,"0000000000"),"CHECK - HS MISMATCH","-")))</f>
        <v/>
      </c>
    </row>
    <row r="286" ht="15" customHeight="1">
      <c r="A286" s="16">
        <f>IF(INPUT!A286="","",INPUT!A286)</f>
        <v/>
      </c>
      <c r="B286" s="16">
        <f>IF(INPUT!B286="","",INPUT!B286)</f>
        <v/>
      </c>
      <c r="C286" s="16">
        <f>IF(INPUT!D286="","",INPUT!D286)</f>
        <v/>
      </c>
      <c r="D286" s="16">
        <f>IF(INPUT!C286="","",INPUT!C286)</f>
        <v/>
      </c>
      <c r="E286" s="17">
        <f>IF(INPUT!E286="","",INPUT!E286)</f>
        <v/>
      </c>
      <c r="F286" s="17">
        <f>IF(E286="","",TEXT(E286,"0000000000"))</f>
        <v/>
      </c>
      <c r="G286" s="17">
        <f>IF(B286="","",IFERROR(INDEX(DB!$B:$B,MATCH(B286,DB!$A:$A,0)),"-"))</f>
        <v/>
      </c>
      <c r="H286" s="4">
        <f>IF(B286="","",IF(G286="-","NEW ITEM",IF(F286=TEXT(G286,"0000000000"),"MATCH","MISMATCH")))</f>
        <v/>
      </c>
      <c r="I286" s="4">
        <f>IF(B286="","",IF(G286="-","-",IF(F286&lt;&gt;TEXT(G286,"0000000000"),"CHECK - HS MISMATCH","-")))</f>
        <v/>
      </c>
    </row>
    <row r="287" ht="15" customHeight="1">
      <c r="A287" s="14">
        <f>IF(INPUT!A287="","",INPUT!A287)</f>
        <v/>
      </c>
      <c r="B287" s="14">
        <f>IF(INPUT!B287="","",INPUT!B287)</f>
        <v/>
      </c>
      <c r="C287" s="14">
        <f>IF(INPUT!D287="","",INPUT!D287)</f>
        <v/>
      </c>
      <c r="D287" s="14">
        <f>IF(INPUT!C287="","",INPUT!C287)</f>
        <v/>
      </c>
      <c r="E287" s="15">
        <f>IF(INPUT!E287="","",INPUT!E287)</f>
        <v/>
      </c>
      <c r="F287" s="15">
        <f>IF(E287="","",TEXT(E287,"0000000000"))</f>
        <v/>
      </c>
      <c r="G287" s="15">
        <f>IF(B287="","",IFERROR(INDEX(DB!$B:$B,MATCH(B287,DB!$A:$A,0)),"-"))</f>
        <v/>
      </c>
      <c r="H287" s="6">
        <f>IF(B287="","",IF(G287="-","NEW ITEM",IF(F287=TEXT(G287,"0000000000"),"MATCH","MISMATCH")))</f>
        <v/>
      </c>
      <c r="I287" s="6">
        <f>IF(B287="","",IF(G287="-","-",IF(F287&lt;&gt;TEXT(G287,"0000000000"),"CHECK - HS MISMATCH","-")))</f>
        <v/>
      </c>
    </row>
    <row r="288" ht="15" customHeight="1">
      <c r="A288" s="16">
        <f>IF(INPUT!A288="","",INPUT!A288)</f>
        <v/>
      </c>
      <c r="B288" s="16">
        <f>IF(INPUT!B288="","",INPUT!B288)</f>
        <v/>
      </c>
      <c r="C288" s="16">
        <f>IF(INPUT!D288="","",INPUT!D288)</f>
        <v/>
      </c>
      <c r="D288" s="16">
        <f>IF(INPUT!C288="","",INPUT!C288)</f>
        <v/>
      </c>
      <c r="E288" s="17">
        <f>IF(INPUT!E288="","",INPUT!E288)</f>
        <v/>
      </c>
      <c r="F288" s="17">
        <f>IF(E288="","",TEXT(E288,"0000000000"))</f>
        <v/>
      </c>
      <c r="G288" s="17">
        <f>IF(B288="","",IFERROR(INDEX(DB!$B:$B,MATCH(B288,DB!$A:$A,0)),"-"))</f>
        <v/>
      </c>
      <c r="H288" s="4">
        <f>IF(B288="","",IF(G288="-","NEW ITEM",IF(F288=TEXT(G288,"0000000000"),"MATCH","MISMATCH")))</f>
        <v/>
      </c>
      <c r="I288" s="4">
        <f>IF(B288="","",IF(G288="-","-",IF(F288&lt;&gt;TEXT(G288,"0000000000"),"CHECK - HS MISMATCH","-")))</f>
        <v/>
      </c>
    </row>
    <row r="289" ht="15" customHeight="1">
      <c r="A289" s="14">
        <f>IF(INPUT!A289="","",INPUT!A289)</f>
        <v/>
      </c>
      <c r="B289" s="14">
        <f>IF(INPUT!B289="","",INPUT!B289)</f>
        <v/>
      </c>
      <c r="C289" s="14">
        <f>IF(INPUT!D289="","",INPUT!D289)</f>
        <v/>
      </c>
      <c r="D289" s="14">
        <f>IF(INPUT!C289="","",INPUT!C289)</f>
        <v/>
      </c>
      <c r="E289" s="15">
        <f>IF(INPUT!E289="","",INPUT!E289)</f>
        <v/>
      </c>
      <c r="F289" s="15">
        <f>IF(E289="","",TEXT(E289,"0000000000"))</f>
        <v/>
      </c>
      <c r="G289" s="15">
        <f>IF(B289="","",IFERROR(INDEX(DB!$B:$B,MATCH(B289,DB!$A:$A,0)),"-"))</f>
        <v/>
      </c>
      <c r="H289" s="6">
        <f>IF(B289="","",IF(G289="-","NEW ITEM",IF(F289=TEXT(G289,"0000000000"),"MATCH","MISMATCH")))</f>
        <v/>
      </c>
      <c r="I289" s="6">
        <f>IF(B289="","",IF(G289="-","-",IF(F289&lt;&gt;TEXT(G289,"0000000000"),"CHECK - HS MISMATCH","-")))</f>
        <v/>
      </c>
    </row>
    <row r="290" ht="15" customHeight="1">
      <c r="A290" s="16">
        <f>IF(INPUT!A290="","",INPUT!A290)</f>
        <v/>
      </c>
      <c r="B290" s="16">
        <f>IF(INPUT!B290="","",INPUT!B290)</f>
        <v/>
      </c>
      <c r="C290" s="16">
        <f>IF(INPUT!D290="","",INPUT!D290)</f>
        <v/>
      </c>
      <c r="D290" s="16">
        <f>IF(INPUT!C290="","",INPUT!C290)</f>
        <v/>
      </c>
      <c r="E290" s="17">
        <f>IF(INPUT!E290="","",INPUT!E290)</f>
        <v/>
      </c>
      <c r="F290" s="17">
        <f>IF(E290="","",TEXT(E290,"0000000000"))</f>
        <v/>
      </c>
      <c r="G290" s="17">
        <f>IF(B290="","",IFERROR(INDEX(DB!$B:$B,MATCH(B290,DB!$A:$A,0)),"-"))</f>
        <v/>
      </c>
      <c r="H290" s="4">
        <f>IF(B290="","",IF(G290="-","NEW ITEM",IF(F290=TEXT(G290,"0000000000"),"MATCH","MISMATCH")))</f>
        <v/>
      </c>
      <c r="I290" s="4">
        <f>IF(B290="","",IF(G290="-","-",IF(F290&lt;&gt;TEXT(G290,"0000000000"),"CHECK - HS MISMATCH","-")))</f>
        <v/>
      </c>
    </row>
    <row r="291" ht="15" customHeight="1">
      <c r="A291" s="14">
        <f>IF(INPUT!A291="","",INPUT!A291)</f>
        <v/>
      </c>
      <c r="B291" s="14">
        <f>IF(INPUT!B291="","",INPUT!B291)</f>
        <v/>
      </c>
      <c r="C291" s="14">
        <f>IF(INPUT!D291="","",INPUT!D291)</f>
        <v/>
      </c>
      <c r="D291" s="14">
        <f>IF(INPUT!C291="","",INPUT!C291)</f>
        <v/>
      </c>
      <c r="E291" s="15">
        <f>IF(INPUT!E291="","",INPUT!E291)</f>
        <v/>
      </c>
      <c r="F291" s="15">
        <f>IF(E291="","",TEXT(E291,"0000000000"))</f>
        <v/>
      </c>
      <c r="G291" s="15">
        <f>IF(B291="","",IFERROR(INDEX(DB!$B:$B,MATCH(B291,DB!$A:$A,0)),"-"))</f>
        <v/>
      </c>
      <c r="H291" s="6">
        <f>IF(B291="","",IF(G291="-","NEW ITEM",IF(F291=TEXT(G291,"0000000000"),"MATCH","MISMATCH")))</f>
        <v/>
      </c>
      <c r="I291" s="6">
        <f>IF(B291="","",IF(G291="-","-",IF(F291&lt;&gt;TEXT(G291,"0000000000"),"CHECK - HS MISMATCH","-")))</f>
        <v/>
      </c>
    </row>
    <row r="292" ht="15" customHeight="1">
      <c r="A292" s="16">
        <f>IF(INPUT!A292="","",INPUT!A292)</f>
        <v/>
      </c>
      <c r="B292" s="16">
        <f>IF(INPUT!B292="","",INPUT!B292)</f>
        <v/>
      </c>
      <c r="C292" s="16">
        <f>IF(INPUT!D292="","",INPUT!D292)</f>
        <v/>
      </c>
      <c r="D292" s="16">
        <f>IF(INPUT!C292="","",INPUT!C292)</f>
        <v/>
      </c>
      <c r="E292" s="17">
        <f>IF(INPUT!E292="","",INPUT!E292)</f>
        <v/>
      </c>
      <c r="F292" s="17">
        <f>IF(E292="","",TEXT(E292,"0000000000"))</f>
        <v/>
      </c>
      <c r="G292" s="17">
        <f>IF(B292="","",IFERROR(INDEX(DB!$B:$B,MATCH(B292,DB!$A:$A,0)),"-"))</f>
        <v/>
      </c>
      <c r="H292" s="4">
        <f>IF(B292="","",IF(G292="-","NEW ITEM",IF(F292=TEXT(G292,"0000000000"),"MATCH","MISMATCH")))</f>
        <v/>
      </c>
      <c r="I292" s="4">
        <f>IF(B292="","",IF(G292="-","-",IF(F292&lt;&gt;TEXT(G292,"0000000000"),"CHECK - HS MISMATCH","-")))</f>
        <v/>
      </c>
    </row>
    <row r="293" ht="15" customHeight="1">
      <c r="A293" s="14">
        <f>IF(INPUT!A293="","",INPUT!A293)</f>
        <v/>
      </c>
      <c r="B293" s="14">
        <f>IF(INPUT!B293="","",INPUT!B293)</f>
        <v/>
      </c>
      <c r="C293" s="14">
        <f>IF(INPUT!D293="","",INPUT!D293)</f>
        <v/>
      </c>
      <c r="D293" s="14">
        <f>IF(INPUT!C293="","",INPUT!C293)</f>
        <v/>
      </c>
      <c r="E293" s="15">
        <f>IF(INPUT!E293="","",INPUT!E293)</f>
        <v/>
      </c>
      <c r="F293" s="15">
        <f>IF(E293="","",TEXT(E293,"0000000000"))</f>
        <v/>
      </c>
      <c r="G293" s="15">
        <f>IF(B293="","",IFERROR(INDEX(DB!$B:$B,MATCH(B293,DB!$A:$A,0)),"-"))</f>
        <v/>
      </c>
      <c r="H293" s="6">
        <f>IF(B293="","",IF(G293="-","NEW ITEM",IF(F293=TEXT(G293,"0000000000"),"MATCH","MISMATCH")))</f>
        <v/>
      </c>
      <c r="I293" s="6">
        <f>IF(B293="","",IF(G293="-","-",IF(F293&lt;&gt;TEXT(G293,"0000000000"),"CHECK - HS MISMATCH","-")))</f>
        <v/>
      </c>
    </row>
    <row r="294" ht="15" customHeight="1">
      <c r="A294" s="16">
        <f>IF(INPUT!A294="","",INPUT!A294)</f>
        <v/>
      </c>
      <c r="B294" s="16">
        <f>IF(INPUT!B294="","",INPUT!B294)</f>
        <v/>
      </c>
      <c r="C294" s="16">
        <f>IF(INPUT!D294="","",INPUT!D294)</f>
        <v/>
      </c>
      <c r="D294" s="16">
        <f>IF(INPUT!C294="","",INPUT!C294)</f>
        <v/>
      </c>
      <c r="E294" s="17">
        <f>IF(INPUT!E294="","",INPUT!E294)</f>
        <v/>
      </c>
      <c r="F294" s="17">
        <f>IF(E294="","",TEXT(E294,"0000000000"))</f>
        <v/>
      </c>
      <c r="G294" s="17">
        <f>IF(B294="","",IFERROR(INDEX(DB!$B:$B,MATCH(B294,DB!$A:$A,0)),"-"))</f>
        <v/>
      </c>
      <c r="H294" s="4">
        <f>IF(B294="","",IF(G294="-","NEW ITEM",IF(F294=TEXT(G294,"0000000000"),"MATCH","MISMATCH")))</f>
        <v/>
      </c>
      <c r="I294" s="4">
        <f>IF(B294="","",IF(G294="-","-",IF(F294&lt;&gt;TEXT(G294,"0000000000"),"CHECK - HS MISMATCH","-")))</f>
        <v/>
      </c>
    </row>
    <row r="295" ht="15" customHeight="1">
      <c r="A295" s="14">
        <f>IF(INPUT!A295="","",INPUT!A295)</f>
        <v/>
      </c>
      <c r="B295" s="14">
        <f>IF(INPUT!B295="","",INPUT!B295)</f>
        <v/>
      </c>
      <c r="C295" s="14">
        <f>IF(INPUT!D295="","",INPUT!D295)</f>
        <v/>
      </c>
      <c r="D295" s="14">
        <f>IF(INPUT!C295="","",INPUT!C295)</f>
        <v/>
      </c>
      <c r="E295" s="15">
        <f>IF(INPUT!E295="","",INPUT!E295)</f>
        <v/>
      </c>
      <c r="F295" s="15">
        <f>IF(E295="","",TEXT(E295,"0000000000"))</f>
        <v/>
      </c>
      <c r="G295" s="15">
        <f>IF(B295="","",IFERROR(INDEX(DB!$B:$B,MATCH(B295,DB!$A:$A,0)),"-"))</f>
        <v/>
      </c>
      <c r="H295" s="6">
        <f>IF(B295="","",IF(G295="-","NEW ITEM",IF(F295=TEXT(G295,"0000000000"),"MATCH","MISMATCH")))</f>
        <v/>
      </c>
      <c r="I295" s="6">
        <f>IF(B295="","",IF(G295="-","-",IF(F295&lt;&gt;TEXT(G295,"0000000000"),"CHECK - HS MISMATCH","-")))</f>
        <v/>
      </c>
    </row>
    <row r="296" ht="15" customHeight="1">
      <c r="A296" s="16">
        <f>IF(INPUT!A296="","",INPUT!A296)</f>
        <v/>
      </c>
      <c r="B296" s="16">
        <f>IF(INPUT!B296="","",INPUT!B296)</f>
        <v/>
      </c>
      <c r="C296" s="16">
        <f>IF(INPUT!D296="","",INPUT!D296)</f>
        <v/>
      </c>
      <c r="D296" s="16">
        <f>IF(INPUT!C296="","",INPUT!C296)</f>
        <v/>
      </c>
      <c r="E296" s="17">
        <f>IF(INPUT!E296="","",INPUT!E296)</f>
        <v/>
      </c>
      <c r="F296" s="17">
        <f>IF(E296="","",TEXT(E296,"0000000000"))</f>
        <v/>
      </c>
      <c r="G296" s="17">
        <f>IF(B296="","",IFERROR(INDEX(DB!$B:$B,MATCH(B296,DB!$A:$A,0)),"-"))</f>
        <v/>
      </c>
      <c r="H296" s="4">
        <f>IF(B296="","",IF(G296="-","NEW ITEM",IF(F296=TEXT(G296,"0000000000"),"MATCH","MISMATCH")))</f>
        <v/>
      </c>
      <c r="I296" s="4">
        <f>IF(B296="","",IF(G296="-","-",IF(F296&lt;&gt;TEXT(G296,"0000000000"),"CHECK - HS MISMATCH","-")))</f>
        <v/>
      </c>
    </row>
    <row r="297" ht="15" customHeight="1">
      <c r="A297" s="14">
        <f>IF(INPUT!A297="","",INPUT!A297)</f>
        <v/>
      </c>
      <c r="B297" s="14">
        <f>IF(INPUT!B297="","",INPUT!B297)</f>
        <v/>
      </c>
      <c r="C297" s="14">
        <f>IF(INPUT!D297="","",INPUT!D297)</f>
        <v/>
      </c>
      <c r="D297" s="14">
        <f>IF(INPUT!C297="","",INPUT!C297)</f>
        <v/>
      </c>
      <c r="E297" s="15">
        <f>IF(INPUT!E297="","",INPUT!E297)</f>
        <v/>
      </c>
      <c r="F297" s="15">
        <f>IF(E297="","",TEXT(E297,"0000000000"))</f>
        <v/>
      </c>
      <c r="G297" s="15">
        <f>IF(B297="","",IFERROR(INDEX(DB!$B:$B,MATCH(B297,DB!$A:$A,0)),"-"))</f>
        <v/>
      </c>
      <c r="H297" s="6">
        <f>IF(B297="","",IF(G297="-","NEW ITEM",IF(F297=TEXT(G297,"0000000000"),"MATCH","MISMATCH")))</f>
        <v/>
      </c>
      <c r="I297" s="6">
        <f>IF(B297="","",IF(G297="-","-",IF(F297&lt;&gt;TEXT(G297,"0000000000"),"CHECK - HS MISMATCH","-")))</f>
        <v/>
      </c>
    </row>
    <row r="298" ht="15" customHeight="1">
      <c r="A298" s="16">
        <f>IF(INPUT!A298="","",INPUT!A298)</f>
        <v/>
      </c>
      <c r="B298" s="16">
        <f>IF(INPUT!B298="","",INPUT!B298)</f>
        <v/>
      </c>
      <c r="C298" s="16">
        <f>IF(INPUT!D298="","",INPUT!D298)</f>
        <v/>
      </c>
      <c r="D298" s="16">
        <f>IF(INPUT!C298="","",INPUT!C298)</f>
        <v/>
      </c>
      <c r="E298" s="17">
        <f>IF(INPUT!E298="","",INPUT!E298)</f>
        <v/>
      </c>
      <c r="F298" s="17">
        <f>IF(E298="","",TEXT(E298,"0000000000"))</f>
        <v/>
      </c>
      <c r="G298" s="17">
        <f>IF(B298="","",IFERROR(INDEX(DB!$B:$B,MATCH(B298,DB!$A:$A,0)),"-"))</f>
        <v/>
      </c>
      <c r="H298" s="4">
        <f>IF(B298="","",IF(G298="-","NEW ITEM",IF(F298=TEXT(G298,"0000000000"),"MATCH","MISMATCH")))</f>
        <v/>
      </c>
      <c r="I298" s="4">
        <f>IF(B298="","",IF(G298="-","-",IF(F298&lt;&gt;TEXT(G298,"0000000000"),"CHECK - HS MISMATCH","-")))</f>
        <v/>
      </c>
    </row>
    <row r="299" ht="15" customHeight="1">
      <c r="A299" s="14">
        <f>IF(INPUT!A299="","",INPUT!A299)</f>
        <v/>
      </c>
      <c r="B299" s="14">
        <f>IF(INPUT!B299="","",INPUT!B299)</f>
        <v/>
      </c>
      <c r="C299" s="14">
        <f>IF(INPUT!D299="","",INPUT!D299)</f>
        <v/>
      </c>
      <c r="D299" s="14">
        <f>IF(INPUT!C299="","",INPUT!C299)</f>
        <v/>
      </c>
      <c r="E299" s="15">
        <f>IF(INPUT!E299="","",INPUT!E299)</f>
        <v/>
      </c>
      <c r="F299" s="15">
        <f>IF(E299="","",TEXT(E299,"0000000000"))</f>
        <v/>
      </c>
      <c r="G299" s="15">
        <f>IF(B299="","",IFERROR(INDEX(DB!$B:$B,MATCH(B299,DB!$A:$A,0)),"-"))</f>
        <v/>
      </c>
      <c r="H299" s="6">
        <f>IF(B299="","",IF(G299="-","NEW ITEM",IF(F299=TEXT(G299,"0000000000"),"MATCH","MISMATCH")))</f>
        <v/>
      </c>
      <c r="I299" s="6">
        <f>IF(B299="","",IF(G299="-","-",IF(F299&lt;&gt;TEXT(G299,"0000000000"),"CHECK - HS MISMATCH","-")))</f>
        <v/>
      </c>
    </row>
    <row r="300" ht="15" customHeight="1">
      <c r="A300" s="16">
        <f>IF(INPUT!A300="","",INPUT!A300)</f>
        <v/>
      </c>
      <c r="B300" s="16">
        <f>IF(INPUT!B300="","",INPUT!B300)</f>
        <v/>
      </c>
      <c r="C300" s="16">
        <f>IF(INPUT!D300="","",INPUT!D300)</f>
        <v/>
      </c>
      <c r="D300" s="16">
        <f>IF(INPUT!C300="","",INPUT!C300)</f>
        <v/>
      </c>
      <c r="E300" s="17">
        <f>IF(INPUT!E300="","",INPUT!E300)</f>
        <v/>
      </c>
      <c r="F300" s="17">
        <f>IF(E300="","",TEXT(E300,"0000000000"))</f>
        <v/>
      </c>
      <c r="G300" s="17">
        <f>IF(B300="","",IFERROR(INDEX(DB!$B:$B,MATCH(B300,DB!$A:$A,0)),"-"))</f>
        <v/>
      </c>
      <c r="H300" s="4">
        <f>IF(B300="","",IF(G300="-","NEW ITEM",IF(F300=TEXT(G300,"0000000000"),"MATCH","MISMATCH")))</f>
        <v/>
      </c>
      <c r="I300" s="4">
        <f>IF(B300="","",IF(G300="-","-",IF(F300&lt;&gt;TEXT(G300,"0000000000"),"CHECK - HS MISMATCH","-")))</f>
        <v/>
      </c>
    </row>
    <row r="301" ht="15" customHeight="1">
      <c r="A301" s="14">
        <f>IF(INPUT!A301="","",INPUT!A301)</f>
        <v/>
      </c>
      <c r="B301" s="14">
        <f>IF(INPUT!B301="","",INPUT!B301)</f>
        <v/>
      </c>
      <c r="C301" s="14">
        <f>IF(INPUT!D301="","",INPUT!D301)</f>
        <v/>
      </c>
      <c r="D301" s="14">
        <f>IF(INPUT!C301="","",INPUT!C301)</f>
        <v/>
      </c>
      <c r="E301" s="15">
        <f>IF(INPUT!E301="","",INPUT!E301)</f>
        <v/>
      </c>
      <c r="F301" s="15">
        <f>IF(E301="","",TEXT(E301,"0000000000"))</f>
        <v/>
      </c>
      <c r="G301" s="15">
        <f>IF(B301="","",IFERROR(INDEX(DB!$B:$B,MATCH(B301,DB!$A:$A,0)),"-"))</f>
        <v/>
      </c>
      <c r="H301" s="6">
        <f>IF(B301="","",IF(G301="-","NEW ITEM",IF(F301=TEXT(G301,"0000000000"),"MATCH","MISMATCH")))</f>
        <v/>
      </c>
      <c r="I301" s="6">
        <f>IF(B301="","",IF(G301="-","-",IF(F301&lt;&gt;TEXT(G301,"0000000000"),"CHECK - HS MISMATCH","-")))</f>
        <v/>
      </c>
    </row>
    <row r="302" ht="15" customHeight="1">
      <c r="A302" s="16">
        <f>IF(INPUT!A302="","",INPUT!A302)</f>
        <v/>
      </c>
      <c r="B302" s="16">
        <f>IF(INPUT!B302="","",INPUT!B302)</f>
        <v/>
      </c>
      <c r="C302" s="16">
        <f>IF(INPUT!D302="","",INPUT!D302)</f>
        <v/>
      </c>
      <c r="D302" s="16">
        <f>IF(INPUT!C302="","",INPUT!C302)</f>
        <v/>
      </c>
      <c r="E302" s="17">
        <f>IF(INPUT!E302="","",INPUT!E302)</f>
        <v/>
      </c>
      <c r="F302" s="17">
        <f>IF(E302="","",TEXT(E302,"0000000000"))</f>
        <v/>
      </c>
      <c r="G302" s="17">
        <f>IF(B302="","",IFERROR(INDEX(DB!$B:$B,MATCH(B302,DB!$A:$A,0)),"-"))</f>
        <v/>
      </c>
      <c r="H302" s="4">
        <f>IF(B302="","",IF(G302="-","NEW ITEM",IF(F302=TEXT(G302,"0000000000"),"MATCH","MISMATCH")))</f>
        <v/>
      </c>
      <c r="I302" s="4">
        <f>IF(B302="","",IF(G302="-","-",IF(F302&lt;&gt;TEXT(G302,"0000000000"),"CHECK - HS MISMATCH","-")))</f>
        <v/>
      </c>
    </row>
    <row r="303" ht="15" customHeight="1">
      <c r="A303">
        <f>IF(INPUT!A303="","",INPUT!A303)</f>
        <v/>
      </c>
      <c r="B303">
        <f>IF(INPUT!B303="","",INPUT!B303)</f>
        <v/>
      </c>
      <c r="C303">
        <f>IF(INPUT!D303="","",INPUT!D303)</f>
        <v/>
      </c>
      <c r="D303">
        <f>IF(INPUT!C303="","",INPUT!C303)</f>
        <v/>
      </c>
      <c r="E303">
        <f>IF(INPUT!E303="","",INPUT!E303)</f>
        <v/>
      </c>
      <c r="F303">
        <f>IF(E303="","",TEXT(E303,"0000000000"))</f>
        <v/>
      </c>
      <c r="G303">
        <f>IF(B303="","",IFERROR(INDEX(DB!$B:$B,MATCH(B303,DB!$A:$A,0)),"-"))</f>
        <v/>
      </c>
      <c r="H303">
        <f>IF(B303="","",IF(G303="-","NEW ITEM",IF(F303=TEXT(G303,"0000000000"),"MATCH","MISMATCH")))</f>
        <v/>
      </c>
      <c r="I303">
        <f>IF(B303="","",IF(G303="-","-",IF(F303&lt;&gt;TEXT(G303,"0000000000"),"CHECK - HS MISMATCH","-")))</f>
        <v/>
      </c>
    </row>
    <row r="304" ht="15" customHeight="1">
      <c r="A304">
        <f>IF(INPUT!A304="","",INPUT!A304)</f>
        <v/>
      </c>
      <c r="B304">
        <f>IF(INPUT!B304="","",INPUT!B304)</f>
        <v/>
      </c>
      <c r="C304">
        <f>IF(INPUT!D304="","",INPUT!D304)</f>
        <v/>
      </c>
      <c r="D304">
        <f>IF(INPUT!C304="","",INPUT!C304)</f>
        <v/>
      </c>
      <c r="E304">
        <f>IF(INPUT!E304="","",INPUT!E304)</f>
        <v/>
      </c>
      <c r="F304">
        <f>IF(E304="","",TEXT(E304,"0000000000"))</f>
        <v/>
      </c>
      <c r="G304">
        <f>IF(B304="","",IFERROR(INDEX(DB!$B:$B,MATCH(B304,DB!$A:$A,0)),"-"))</f>
        <v/>
      </c>
      <c r="H304">
        <f>IF(B304="","",IF(G304="-","NEW ITEM",IF(F304=TEXT(G304,"0000000000"),"MATCH","MISMATCH")))</f>
        <v/>
      </c>
      <c r="I304">
        <f>IF(B304="","",IF(G304="-","-",IF(F304&lt;&gt;TEXT(G304,"0000000000"),"CHECK - HS MISMATCH","-")))</f>
        <v/>
      </c>
    </row>
    <row r="305" ht="15" customHeight="1">
      <c r="A305">
        <f>IF(INPUT!A305="","",INPUT!A305)</f>
        <v/>
      </c>
      <c r="B305">
        <f>IF(INPUT!B305="","",INPUT!B305)</f>
        <v/>
      </c>
      <c r="C305">
        <f>IF(INPUT!D305="","",INPUT!D305)</f>
        <v/>
      </c>
      <c r="D305">
        <f>IF(INPUT!C305="","",INPUT!C305)</f>
        <v/>
      </c>
      <c r="E305">
        <f>IF(INPUT!E305="","",INPUT!E305)</f>
        <v/>
      </c>
      <c r="F305">
        <f>IF(E305="","",TEXT(E305,"0000000000"))</f>
        <v/>
      </c>
      <c r="G305">
        <f>IF(B305="","",IFERROR(INDEX(DB!$B:$B,MATCH(B305,DB!$A:$A,0)),"-"))</f>
        <v/>
      </c>
      <c r="H305">
        <f>IF(B305="","",IF(G305="-","NEW ITEM",IF(F305=TEXT(G305,"0000000000"),"MATCH","MISMATCH")))</f>
        <v/>
      </c>
      <c r="I305">
        <f>IF(B305="","",IF(G305="-","-",IF(F305&lt;&gt;TEXT(G305,"0000000000"),"CHECK - HS MISMATCH","-")))</f>
        <v/>
      </c>
    </row>
    <row r="306" ht="15" customHeight="1">
      <c r="A306">
        <f>IF(INPUT!A306="","",INPUT!A306)</f>
        <v/>
      </c>
      <c r="B306">
        <f>IF(INPUT!B306="","",INPUT!B306)</f>
        <v/>
      </c>
      <c r="C306">
        <f>IF(INPUT!D306="","",INPUT!D306)</f>
        <v/>
      </c>
      <c r="D306">
        <f>IF(INPUT!C306="","",INPUT!C306)</f>
        <v/>
      </c>
      <c r="E306">
        <f>IF(INPUT!E306="","",INPUT!E306)</f>
        <v/>
      </c>
      <c r="F306">
        <f>IF(E306="","",TEXT(E306,"0000000000"))</f>
        <v/>
      </c>
      <c r="G306">
        <f>IF(B306="","",IFERROR(INDEX(DB!$B:$B,MATCH(B306,DB!$A:$A,0)),"-"))</f>
        <v/>
      </c>
      <c r="H306">
        <f>IF(B306="","",IF(G306="-","NEW ITEM",IF(F306=TEXT(G306,"0000000000"),"MATCH","MISMATCH")))</f>
        <v/>
      </c>
      <c r="I306">
        <f>IF(B306="","",IF(G306="-","-",IF(F306&lt;&gt;TEXT(G306,"0000000000"),"CHECK - HS MISMATCH","-")))</f>
        <v/>
      </c>
    </row>
    <row r="307" ht="15" customHeight="1">
      <c r="A307">
        <f>IF(INPUT!A307="","",INPUT!A307)</f>
        <v/>
      </c>
      <c r="B307">
        <f>IF(INPUT!B307="","",INPUT!B307)</f>
        <v/>
      </c>
      <c r="C307">
        <f>IF(INPUT!D307="","",INPUT!D307)</f>
        <v/>
      </c>
      <c r="D307">
        <f>IF(INPUT!C307="","",INPUT!C307)</f>
        <v/>
      </c>
      <c r="E307">
        <f>IF(INPUT!E307="","",INPUT!E307)</f>
        <v/>
      </c>
      <c r="F307">
        <f>IF(E307="","",TEXT(E307,"0000000000"))</f>
        <v/>
      </c>
      <c r="G307">
        <f>IF(B307="","",IFERROR(INDEX(DB!$B:$B,MATCH(B307,DB!$A:$A,0)),"-"))</f>
        <v/>
      </c>
      <c r="H307">
        <f>IF(B307="","",IF(G307="-","NEW ITEM",IF(F307=TEXT(G307,"0000000000"),"MATCH","MISMATCH")))</f>
        <v/>
      </c>
      <c r="I307">
        <f>IF(B307="","",IF(G307="-","-",IF(F307&lt;&gt;TEXT(G307,"0000000000"),"CHECK - HS MISMATCH","-")))</f>
        <v/>
      </c>
    </row>
    <row r="308" ht="15" customHeight="1">
      <c r="A308">
        <f>IF(INPUT!A308="","",INPUT!A308)</f>
        <v/>
      </c>
      <c r="B308">
        <f>IF(INPUT!B308="","",INPUT!B308)</f>
        <v/>
      </c>
      <c r="C308">
        <f>IF(INPUT!D308="","",INPUT!D308)</f>
        <v/>
      </c>
      <c r="D308">
        <f>IF(INPUT!C308="","",INPUT!C308)</f>
        <v/>
      </c>
      <c r="E308">
        <f>IF(INPUT!E308="","",INPUT!E308)</f>
        <v/>
      </c>
      <c r="F308">
        <f>IF(E308="","",TEXT(E308,"0000000000"))</f>
        <v/>
      </c>
      <c r="G308">
        <f>IF(B308="","",IFERROR(INDEX(DB!$B:$B,MATCH(B308,DB!$A:$A,0)),"-"))</f>
        <v/>
      </c>
      <c r="H308">
        <f>IF(B308="","",IF(G308="-","NEW ITEM",IF(F308=TEXT(G308,"0000000000"),"MATCH","MISMATCH")))</f>
        <v/>
      </c>
      <c r="I308">
        <f>IF(B308="","",IF(G308="-","-",IF(F308&lt;&gt;TEXT(G308,"0000000000"),"CHECK - HS MISMATCH","-")))</f>
        <v/>
      </c>
    </row>
    <row r="309" ht="15" customHeight="1">
      <c r="A309">
        <f>IF(INPUT!A309="","",INPUT!A309)</f>
        <v/>
      </c>
      <c r="B309">
        <f>IF(INPUT!B309="","",INPUT!B309)</f>
        <v/>
      </c>
      <c r="C309">
        <f>IF(INPUT!D309="","",INPUT!D309)</f>
        <v/>
      </c>
      <c r="D309">
        <f>IF(INPUT!C309="","",INPUT!C309)</f>
        <v/>
      </c>
      <c r="E309">
        <f>IF(INPUT!E309="","",INPUT!E309)</f>
        <v/>
      </c>
      <c r="F309">
        <f>IF(E309="","",TEXT(E309,"0000000000"))</f>
        <v/>
      </c>
      <c r="G309">
        <f>IF(B309="","",IFERROR(INDEX(DB!$B:$B,MATCH(B309,DB!$A:$A,0)),"-"))</f>
        <v/>
      </c>
      <c r="H309">
        <f>IF(B309="","",IF(G309="-","NEW ITEM",IF(F309=TEXT(G309,"0000000000"),"MATCH","MISMATCH")))</f>
        <v/>
      </c>
      <c r="I309">
        <f>IF(B309="","",IF(G309="-","-",IF(F309&lt;&gt;TEXT(G309,"0000000000"),"CHECK - HS MISMATCH","-")))</f>
        <v/>
      </c>
    </row>
    <row r="310" ht="15" customHeight="1">
      <c r="A310">
        <f>IF(INPUT!A310="","",INPUT!A310)</f>
        <v/>
      </c>
      <c r="B310">
        <f>IF(INPUT!B310="","",INPUT!B310)</f>
        <v/>
      </c>
      <c r="C310">
        <f>IF(INPUT!D310="","",INPUT!D310)</f>
        <v/>
      </c>
      <c r="D310">
        <f>IF(INPUT!C310="","",INPUT!C310)</f>
        <v/>
      </c>
      <c r="E310">
        <f>IF(INPUT!E310="","",INPUT!E310)</f>
        <v/>
      </c>
      <c r="F310">
        <f>IF(E310="","",TEXT(E310,"0000000000"))</f>
        <v/>
      </c>
      <c r="G310">
        <f>IF(B310="","",IFERROR(INDEX(DB!$B:$B,MATCH(B310,DB!$A:$A,0)),"-"))</f>
        <v/>
      </c>
      <c r="H310">
        <f>IF(B310="","",IF(G310="-","NEW ITEM",IF(F310=TEXT(G310,"0000000000"),"MATCH","MISMATCH")))</f>
        <v/>
      </c>
      <c r="I310">
        <f>IF(B310="","",IF(G310="-","-",IF(F310&lt;&gt;TEXT(G310,"0000000000"),"CHECK - HS MISMATCH","-")))</f>
        <v/>
      </c>
    </row>
    <row r="311" ht="15" customHeight="1">
      <c r="A311">
        <f>IF(INPUT!A311="","",INPUT!A311)</f>
        <v/>
      </c>
      <c r="B311">
        <f>IF(INPUT!B311="","",INPUT!B311)</f>
        <v/>
      </c>
      <c r="C311">
        <f>IF(INPUT!D311="","",INPUT!D311)</f>
        <v/>
      </c>
      <c r="D311">
        <f>IF(INPUT!C311="","",INPUT!C311)</f>
        <v/>
      </c>
      <c r="E311">
        <f>IF(INPUT!E311="","",INPUT!E311)</f>
        <v/>
      </c>
      <c r="F311">
        <f>IF(E311="","",TEXT(E311,"0000000000"))</f>
        <v/>
      </c>
      <c r="G311">
        <f>IF(B311="","",IFERROR(INDEX(DB!$B:$B,MATCH(B311,DB!$A:$A,0)),"-"))</f>
        <v/>
      </c>
      <c r="H311">
        <f>IF(B311="","",IF(G311="-","NEW ITEM",IF(F311=TEXT(G311,"0000000000"),"MATCH","MISMATCH")))</f>
        <v/>
      </c>
      <c r="I311">
        <f>IF(B311="","",IF(G311="-","-",IF(F311&lt;&gt;TEXT(G311,"0000000000"),"CHECK - HS MISMATCH","-")))</f>
        <v/>
      </c>
    </row>
    <row r="312" ht="15" customHeight="1">
      <c r="A312">
        <f>IF(INPUT!A312="","",INPUT!A312)</f>
        <v/>
      </c>
      <c r="B312">
        <f>IF(INPUT!B312="","",INPUT!B312)</f>
        <v/>
      </c>
      <c r="C312">
        <f>IF(INPUT!D312="","",INPUT!D312)</f>
        <v/>
      </c>
      <c r="D312">
        <f>IF(INPUT!C312="","",INPUT!C312)</f>
        <v/>
      </c>
      <c r="E312">
        <f>IF(INPUT!E312="","",INPUT!E312)</f>
        <v/>
      </c>
      <c r="F312">
        <f>IF(E312="","",TEXT(E312,"0000000000"))</f>
        <v/>
      </c>
      <c r="G312">
        <f>IF(B312="","",IFERROR(INDEX(DB!$B:$B,MATCH(B312,DB!$A:$A,0)),"-"))</f>
        <v/>
      </c>
      <c r="H312">
        <f>IF(B312="","",IF(G312="-","NEW ITEM",IF(F312=TEXT(G312,"0000000000"),"MATCH","MISMATCH")))</f>
        <v/>
      </c>
      <c r="I312">
        <f>IF(B312="","",IF(G312="-","-",IF(F312&lt;&gt;TEXT(G312,"0000000000"),"CHECK - HS MISMATCH","-")))</f>
        <v/>
      </c>
    </row>
    <row r="313" ht="15" customHeight="1">
      <c r="A313">
        <f>IF(INPUT!A313="","",INPUT!A313)</f>
        <v/>
      </c>
      <c r="B313">
        <f>IF(INPUT!B313="","",INPUT!B313)</f>
        <v/>
      </c>
      <c r="C313">
        <f>IF(INPUT!D313="","",INPUT!D313)</f>
        <v/>
      </c>
      <c r="D313">
        <f>IF(INPUT!C313="","",INPUT!C313)</f>
        <v/>
      </c>
      <c r="E313">
        <f>IF(INPUT!E313="","",INPUT!E313)</f>
        <v/>
      </c>
      <c r="F313">
        <f>IF(E313="","",TEXT(E313,"0000000000"))</f>
        <v/>
      </c>
      <c r="G313">
        <f>IF(B313="","",IFERROR(INDEX(DB!$B:$B,MATCH(B313,DB!$A:$A,0)),"-"))</f>
        <v/>
      </c>
      <c r="H313">
        <f>IF(B313="","",IF(G313="-","NEW ITEM",IF(F313=TEXT(G313,"0000000000"),"MATCH","MISMATCH")))</f>
        <v/>
      </c>
      <c r="I313">
        <f>IF(B313="","",IF(G313="-","-",IF(F313&lt;&gt;TEXT(G313,"0000000000"),"CHECK - HS MISMATCH","-")))</f>
        <v/>
      </c>
    </row>
    <row r="314" ht="15" customHeight="1">
      <c r="A314">
        <f>IF(INPUT!A314="","",INPUT!A314)</f>
        <v/>
      </c>
      <c r="B314">
        <f>IF(INPUT!B314="","",INPUT!B314)</f>
        <v/>
      </c>
      <c r="C314">
        <f>IF(INPUT!D314="","",INPUT!D314)</f>
        <v/>
      </c>
      <c r="D314">
        <f>IF(INPUT!C314="","",INPUT!C314)</f>
        <v/>
      </c>
      <c r="E314">
        <f>IF(INPUT!E314="","",INPUT!E314)</f>
        <v/>
      </c>
      <c r="F314">
        <f>IF(E314="","",TEXT(E314,"0000000000"))</f>
        <v/>
      </c>
      <c r="G314">
        <f>IF(B314="","",IFERROR(INDEX(DB!$B:$B,MATCH(B314,DB!$A:$A,0)),"-"))</f>
        <v/>
      </c>
      <c r="H314">
        <f>IF(B314="","",IF(G314="-","NEW ITEM",IF(F314=TEXT(G314,"0000000000"),"MATCH","MISMATCH")))</f>
        <v/>
      </c>
      <c r="I314">
        <f>IF(B314="","",IF(G314="-","-",IF(F314&lt;&gt;TEXT(G314,"0000000000"),"CHECK - HS MISMATCH","-")))</f>
        <v/>
      </c>
    </row>
    <row r="315" ht="15" customHeight="1">
      <c r="A315">
        <f>IF(INPUT!A315="","",INPUT!A315)</f>
        <v/>
      </c>
      <c r="B315">
        <f>IF(INPUT!B315="","",INPUT!B315)</f>
        <v/>
      </c>
      <c r="C315">
        <f>IF(INPUT!D315="","",INPUT!D315)</f>
        <v/>
      </c>
      <c r="D315">
        <f>IF(INPUT!C315="","",INPUT!C315)</f>
        <v/>
      </c>
      <c r="E315">
        <f>IF(INPUT!E315="","",INPUT!E315)</f>
        <v/>
      </c>
      <c r="F315">
        <f>IF(E315="","",TEXT(E315,"0000000000"))</f>
        <v/>
      </c>
      <c r="G315">
        <f>IF(B315="","",IFERROR(INDEX(DB!$B:$B,MATCH(B315,DB!$A:$A,0)),"-"))</f>
        <v/>
      </c>
      <c r="H315">
        <f>IF(B315="","",IF(G315="-","NEW ITEM",IF(F315=TEXT(G315,"0000000000"),"MATCH","MISMATCH")))</f>
        <v/>
      </c>
      <c r="I315">
        <f>IF(B315="","",IF(G315="-","-",IF(F315&lt;&gt;TEXT(G315,"0000000000"),"CHECK - HS MISMATCH","-")))</f>
        <v/>
      </c>
    </row>
    <row r="316" ht="15" customHeight="1">
      <c r="A316">
        <f>IF(INPUT!A316="","",INPUT!A316)</f>
        <v/>
      </c>
      <c r="B316">
        <f>IF(INPUT!B316="","",INPUT!B316)</f>
        <v/>
      </c>
      <c r="C316">
        <f>IF(INPUT!D316="","",INPUT!D316)</f>
        <v/>
      </c>
      <c r="D316">
        <f>IF(INPUT!C316="","",INPUT!C316)</f>
        <v/>
      </c>
      <c r="E316">
        <f>IF(INPUT!E316="","",INPUT!E316)</f>
        <v/>
      </c>
      <c r="F316">
        <f>IF(E316="","",TEXT(E316,"0000000000"))</f>
        <v/>
      </c>
      <c r="G316">
        <f>IF(B316="","",IFERROR(INDEX(DB!$B:$B,MATCH(B316,DB!$A:$A,0)),"-"))</f>
        <v/>
      </c>
      <c r="H316">
        <f>IF(B316="","",IF(G316="-","NEW ITEM",IF(F316=TEXT(G316,"0000000000"),"MATCH","MISMATCH")))</f>
        <v/>
      </c>
      <c r="I316">
        <f>IF(B316="","",IF(G316="-","-",IF(F316&lt;&gt;TEXT(G316,"0000000000"),"CHECK - HS MISMATCH","-")))</f>
        <v/>
      </c>
    </row>
    <row r="317" ht="15" customHeight="1">
      <c r="A317">
        <f>IF(INPUT!A317="","",INPUT!A317)</f>
        <v/>
      </c>
      <c r="B317">
        <f>IF(INPUT!B317="","",INPUT!B317)</f>
        <v/>
      </c>
      <c r="C317">
        <f>IF(INPUT!D317="","",INPUT!D317)</f>
        <v/>
      </c>
      <c r="D317">
        <f>IF(INPUT!C317="","",INPUT!C317)</f>
        <v/>
      </c>
      <c r="E317">
        <f>IF(INPUT!E317="","",INPUT!E317)</f>
        <v/>
      </c>
      <c r="F317">
        <f>IF(E317="","",TEXT(E317,"0000000000"))</f>
        <v/>
      </c>
      <c r="G317">
        <f>IF(B317="","",IFERROR(INDEX(DB!$B:$B,MATCH(B317,DB!$A:$A,0)),"-"))</f>
        <v/>
      </c>
      <c r="H317">
        <f>IF(B317="","",IF(G317="-","NEW ITEM",IF(F317=TEXT(G317,"0000000000"),"MATCH","MISMATCH")))</f>
        <v/>
      </c>
      <c r="I317">
        <f>IF(B317="","",IF(G317="-","-",IF(F317&lt;&gt;TEXT(G317,"0000000000"),"CHECK - HS MISMATCH","-")))</f>
        <v/>
      </c>
    </row>
    <row r="318" ht="15" customHeight="1">
      <c r="A318">
        <f>IF(INPUT!A318="","",INPUT!A318)</f>
        <v/>
      </c>
      <c r="B318">
        <f>IF(INPUT!B318="","",INPUT!B318)</f>
        <v/>
      </c>
      <c r="C318">
        <f>IF(INPUT!D318="","",INPUT!D318)</f>
        <v/>
      </c>
      <c r="D318">
        <f>IF(INPUT!C318="","",INPUT!C318)</f>
        <v/>
      </c>
      <c r="E318">
        <f>IF(INPUT!E318="","",INPUT!E318)</f>
        <v/>
      </c>
      <c r="F318">
        <f>IF(E318="","",TEXT(E318,"0000000000"))</f>
        <v/>
      </c>
      <c r="G318">
        <f>IF(B318="","",IFERROR(INDEX(DB!$B:$B,MATCH(B318,DB!$A:$A,0)),"-"))</f>
        <v/>
      </c>
      <c r="H318">
        <f>IF(B318="","",IF(G318="-","NEW ITEM",IF(F318=TEXT(G318,"0000000000"),"MATCH","MISMATCH")))</f>
        <v/>
      </c>
      <c r="I318">
        <f>IF(B318="","",IF(G318="-","-",IF(F318&lt;&gt;TEXT(G318,"0000000000"),"CHECK - HS MISMATCH","-")))</f>
        <v/>
      </c>
    </row>
    <row r="319" ht="15" customHeight="1">
      <c r="A319">
        <f>IF(INPUT!A319="","",INPUT!A319)</f>
        <v/>
      </c>
      <c r="B319">
        <f>IF(INPUT!B319="","",INPUT!B319)</f>
        <v/>
      </c>
      <c r="C319">
        <f>IF(INPUT!D319="","",INPUT!D319)</f>
        <v/>
      </c>
      <c r="D319">
        <f>IF(INPUT!C319="","",INPUT!C319)</f>
        <v/>
      </c>
      <c r="E319">
        <f>IF(INPUT!E319="","",INPUT!E319)</f>
        <v/>
      </c>
      <c r="F319">
        <f>IF(E319="","",TEXT(E319,"0000000000"))</f>
        <v/>
      </c>
      <c r="G319">
        <f>IF(B319="","",IFERROR(INDEX(DB!$B:$B,MATCH(B319,DB!$A:$A,0)),"-"))</f>
        <v/>
      </c>
      <c r="H319">
        <f>IF(B319="","",IF(G319="-","NEW ITEM",IF(F319=TEXT(G319,"0000000000"),"MATCH","MISMATCH")))</f>
        <v/>
      </c>
      <c r="I319">
        <f>IF(B319="","",IF(G319="-","-",IF(F319&lt;&gt;TEXT(G319,"0000000000"),"CHECK - HS MISMATCH","-")))</f>
        <v/>
      </c>
    </row>
    <row r="320" ht="15" customHeight="1">
      <c r="A320">
        <f>IF(INPUT!A320="","",INPUT!A320)</f>
        <v/>
      </c>
      <c r="B320">
        <f>IF(INPUT!B320="","",INPUT!B320)</f>
        <v/>
      </c>
      <c r="C320">
        <f>IF(INPUT!D320="","",INPUT!D320)</f>
        <v/>
      </c>
      <c r="D320">
        <f>IF(INPUT!C320="","",INPUT!C320)</f>
        <v/>
      </c>
      <c r="E320">
        <f>IF(INPUT!E320="","",INPUT!E320)</f>
        <v/>
      </c>
      <c r="F320">
        <f>IF(E320="","",TEXT(E320,"0000000000"))</f>
        <v/>
      </c>
      <c r="G320">
        <f>IF(B320="","",IFERROR(INDEX(DB!$B:$B,MATCH(B320,DB!$A:$A,0)),"-"))</f>
        <v/>
      </c>
      <c r="H320">
        <f>IF(B320="","",IF(G320="-","NEW ITEM",IF(F320=TEXT(G320,"0000000000"),"MATCH","MISMATCH")))</f>
        <v/>
      </c>
      <c r="I320">
        <f>IF(B320="","",IF(G320="-","-",IF(F320&lt;&gt;TEXT(G320,"0000000000"),"CHECK - HS MISMATCH","-")))</f>
        <v/>
      </c>
    </row>
    <row r="321" ht="15" customHeight="1">
      <c r="A321">
        <f>IF(INPUT!A321="","",INPUT!A321)</f>
        <v/>
      </c>
      <c r="B321">
        <f>IF(INPUT!B321="","",INPUT!B321)</f>
        <v/>
      </c>
      <c r="C321">
        <f>IF(INPUT!D321="","",INPUT!D321)</f>
        <v/>
      </c>
      <c r="D321">
        <f>IF(INPUT!C321="","",INPUT!C321)</f>
        <v/>
      </c>
      <c r="E321">
        <f>IF(INPUT!E321="","",INPUT!E321)</f>
        <v/>
      </c>
      <c r="F321">
        <f>IF(E321="","",TEXT(E321,"0000000000"))</f>
        <v/>
      </c>
      <c r="G321">
        <f>IF(B321="","",IFERROR(INDEX(DB!$B:$B,MATCH(B321,DB!$A:$A,0)),"-"))</f>
        <v/>
      </c>
      <c r="H321">
        <f>IF(B321="","",IF(G321="-","NEW ITEM",IF(F321=TEXT(G321,"0000000000"),"MATCH","MISMATCH")))</f>
        <v/>
      </c>
      <c r="I321">
        <f>IF(B321="","",IF(G321="-","-",IF(F321&lt;&gt;TEXT(G321,"0000000000"),"CHECK - HS MISMATCH","-")))</f>
        <v/>
      </c>
    </row>
    <row r="322" ht="15" customHeight="1">
      <c r="A322">
        <f>IF(INPUT!A322="","",INPUT!A322)</f>
        <v/>
      </c>
      <c r="B322">
        <f>IF(INPUT!B322="","",INPUT!B322)</f>
        <v/>
      </c>
      <c r="C322">
        <f>IF(INPUT!D322="","",INPUT!D322)</f>
        <v/>
      </c>
      <c r="D322">
        <f>IF(INPUT!C322="","",INPUT!C322)</f>
        <v/>
      </c>
      <c r="E322">
        <f>IF(INPUT!E322="","",INPUT!E322)</f>
        <v/>
      </c>
      <c r="F322">
        <f>IF(E322="","",TEXT(E322,"0000000000"))</f>
        <v/>
      </c>
      <c r="G322">
        <f>IF(B322="","",IFERROR(INDEX(DB!$B:$B,MATCH(B322,DB!$A:$A,0)),"-"))</f>
        <v/>
      </c>
      <c r="H322">
        <f>IF(B322="","",IF(G322="-","NEW ITEM",IF(F322=TEXT(G322,"0000000000"),"MATCH","MISMATCH")))</f>
        <v/>
      </c>
      <c r="I322">
        <f>IF(B322="","",IF(G322="-","-",IF(F322&lt;&gt;TEXT(G322,"0000000000"),"CHECK - HS MISMATCH","-")))</f>
        <v/>
      </c>
    </row>
    <row r="323" ht="15" customHeight="1">
      <c r="A323">
        <f>IF(INPUT!A323="","",INPUT!A323)</f>
        <v/>
      </c>
      <c r="B323">
        <f>IF(INPUT!B323="","",INPUT!B323)</f>
        <v/>
      </c>
      <c r="C323">
        <f>IF(INPUT!D323="","",INPUT!D323)</f>
        <v/>
      </c>
      <c r="D323">
        <f>IF(INPUT!C323="","",INPUT!C323)</f>
        <v/>
      </c>
      <c r="E323">
        <f>IF(INPUT!E323="","",INPUT!E323)</f>
        <v/>
      </c>
      <c r="F323">
        <f>IF(E323="","",TEXT(E323,"0000000000"))</f>
        <v/>
      </c>
      <c r="G323">
        <f>IF(B323="","",IFERROR(INDEX(DB!$B:$B,MATCH(B323,DB!$A:$A,0)),"-"))</f>
        <v/>
      </c>
      <c r="H323">
        <f>IF(B323="","",IF(G323="-","NEW ITEM",IF(F323=TEXT(G323,"0000000000"),"MATCH","MISMATCH")))</f>
        <v/>
      </c>
      <c r="I323">
        <f>IF(B323="","",IF(G323="-","-",IF(F323&lt;&gt;TEXT(G323,"0000000000"),"CHECK - HS MISMATCH","-")))</f>
        <v/>
      </c>
    </row>
    <row r="324" ht="15" customHeight="1">
      <c r="A324">
        <f>IF(INPUT!A324="","",INPUT!A324)</f>
        <v/>
      </c>
      <c r="B324">
        <f>IF(INPUT!B324="","",INPUT!B324)</f>
        <v/>
      </c>
      <c r="C324">
        <f>IF(INPUT!D324="","",INPUT!D324)</f>
        <v/>
      </c>
      <c r="D324">
        <f>IF(INPUT!C324="","",INPUT!C324)</f>
        <v/>
      </c>
      <c r="E324">
        <f>IF(INPUT!E324="","",INPUT!E324)</f>
        <v/>
      </c>
      <c r="F324">
        <f>IF(E324="","",TEXT(E324,"0000000000"))</f>
        <v/>
      </c>
      <c r="G324">
        <f>IF(B324="","",IFERROR(INDEX(DB!$B:$B,MATCH(B324,DB!$A:$A,0)),"-"))</f>
        <v/>
      </c>
      <c r="H324">
        <f>IF(B324="","",IF(G324="-","NEW ITEM",IF(F324=TEXT(G324,"0000000000"),"MATCH","MISMATCH")))</f>
        <v/>
      </c>
      <c r="I324">
        <f>IF(B324="","",IF(G324="-","-",IF(F324&lt;&gt;TEXT(G324,"0000000000"),"CHECK - HS MISMATCH","-")))</f>
        <v/>
      </c>
    </row>
    <row r="325" ht="15" customHeight="1">
      <c r="A325">
        <f>IF(INPUT!A325="","",INPUT!A325)</f>
        <v/>
      </c>
      <c r="B325">
        <f>IF(INPUT!B325="","",INPUT!B325)</f>
        <v/>
      </c>
      <c r="C325">
        <f>IF(INPUT!D325="","",INPUT!D325)</f>
        <v/>
      </c>
      <c r="D325">
        <f>IF(INPUT!C325="","",INPUT!C325)</f>
        <v/>
      </c>
      <c r="E325">
        <f>IF(INPUT!E325="","",INPUT!E325)</f>
        <v/>
      </c>
      <c r="F325">
        <f>IF(E325="","",TEXT(E325,"0000000000"))</f>
        <v/>
      </c>
      <c r="G325">
        <f>IF(B325="","",IFERROR(INDEX(DB!$B:$B,MATCH(B325,DB!$A:$A,0)),"-"))</f>
        <v/>
      </c>
      <c r="H325">
        <f>IF(B325="","",IF(G325="-","NEW ITEM",IF(F325=TEXT(G325,"0000000000"),"MATCH","MISMATCH")))</f>
        <v/>
      </c>
      <c r="I325">
        <f>IF(B325="","",IF(G325="-","-",IF(F325&lt;&gt;TEXT(G325,"0000000000"),"CHECK - HS MISMATCH","-")))</f>
        <v/>
      </c>
    </row>
    <row r="326" ht="15" customHeight="1">
      <c r="A326">
        <f>IF(INPUT!A326="","",INPUT!A326)</f>
        <v/>
      </c>
      <c r="B326">
        <f>IF(INPUT!B326="","",INPUT!B326)</f>
        <v/>
      </c>
      <c r="C326">
        <f>IF(INPUT!D326="","",INPUT!D326)</f>
        <v/>
      </c>
      <c r="D326">
        <f>IF(INPUT!C326="","",INPUT!C326)</f>
        <v/>
      </c>
      <c r="E326">
        <f>IF(INPUT!E326="","",INPUT!E326)</f>
        <v/>
      </c>
      <c r="F326">
        <f>IF(E326="","",TEXT(E326,"0000000000"))</f>
        <v/>
      </c>
      <c r="G326">
        <f>IF(B326="","",IFERROR(INDEX(DB!$B:$B,MATCH(B326,DB!$A:$A,0)),"-"))</f>
        <v/>
      </c>
      <c r="H326">
        <f>IF(B326="","",IF(G326="-","NEW ITEM",IF(F326=TEXT(G326,"0000000000"),"MATCH","MISMATCH")))</f>
        <v/>
      </c>
      <c r="I326">
        <f>IF(B326="","",IF(G326="-","-",IF(F326&lt;&gt;TEXT(G326,"0000000000"),"CHECK - HS MISMATCH","-")))</f>
        <v/>
      </c>
    </row>
    <row r="327" ht="15" customHeight="1">
      <c r="A327">
        <f>IF(INPUT!A327="","",INPUT!A327)</f>
        <v/>
      </c>
      <c r="B327">
        <f>IF(INPUT!B327="","",INPUT!B327)</f>
        <v/>
      </c>
      <c r="C327">
        <f>IF(INPUT!D327="","",INPUT!D327)</f>
        <v/>
      </c>
      <c r="D327">
        <f>IF(INPUT!C327="","",INPUT!C327)</f>
        <v/>
      </c>
      <c r="E327">
        <f>IF(INPUT!E327="","",INPUT!E327)</f>
        <v/>
      </c>
      <c r="F327">
        <f>IF(E327="","",TEXT(E327,"0000000000"))</f>
        <v/>
      </c>
      <c r="G327">
        <f>IF(B327="","",IFERROR(INDEX(DB!$B:$B,MATCH(B327,DB!$A:$A,0)),"-"))</f>
        <v/>
      </c>
      <c r="H327">
        <f>IF(B327="","",IF(G327="-","NEW ITEM",IF(F327=TEXT(G327,"0000000000"),"MATCH","MISMATCH")))</f>
        <v/>
      </c>
      <c r="I327">
        <f>IF(B327="","",IF(G327="-","-",IF(F327&lt;&gt;TEXT(G327,"0000000000"),"CHECK - HS MISMATCH","-")))</f>
        <v/>
      </c>
    </row>
    <row r="328" ht="15" customHeight="1">
      <c r="A328">
        <f>IF(INPUT!A328="","",INPUT!A328)</f>
        <v/>
      </c>
      <c r="B328">
        <f>IF(INPUT!B328="","",INPUT!B328)</f>
        <v/>
      </c>
      <c r="C328">
        <f>IF(INPUT!D328="","",INPUT!D328)</f>
        <v/>
      </c>
      <c r="D328">
        <f>IF(INPUT!C328="","",INPUT!C328)</f>
        <v/>
      </c>
      <c r="E328">
        <f>IF(INPUT!E328="","",INPUT!E328)</f>
        <v/>
      </c>
      <c r="F328">
        <f>IF(E328="","",TEXT(E328,"0000000000"))</f>
        <v/>
      </c>
      <c r="G328">
        <f>IF(B328="","",IFERROR(INDEX(DB!$B:$B,MATCH(B328,DB!$A:$A,0)),"-"))</f>
        <v/>
      </c>
      <c r="H328">
        <f>IF(B328="","",IF(G328="-","NEW ITEM",IF(F328=TEXT(G328,"0000000000"),"MATCH","MISMATCH")))</f>
        <v/>
      </c>
      <c r="I328">
        <f>IF(B328="","",IF(G328="-","-",IF(F328&lt;&gt;TEXT(G328,"0000000000"),"CHECK - HS MISMATCH","-")))</f>
        <v/>
      </c>
    </row>
    <row r="329" ht="15" customHeight="1">
      <c r="A329">
        <f>IF(INPUT!A329="","",INPUT!A329)</f>
        <v/>
      </c>
      <c r="B329">
        <f>IF(INPUT!B329="","",INPUT!B329)</f>
        <v/>
      </c>
      <c r="C329">
        <f>IF(INPUT!D329="","",INPUT!D329)</f>
        <v/>
      </c>
      <c r="D329">
        <f>IF(INPUT!C329="","",INPUT!C329)</f>
        <v/>
      </c>
      <c r="E329">
        <f>IF(INPUT!E329="","",INPUT!E329)</f>
        <v/>
      </c>
      <c r="F329">
        <f>IF(E329="","",TEXT(E329,"0000000000"))</f>
        <v/>
      </c>
      <c r="G329">
        <f>IF(B329="","",IFERROR(INDEX(DB!$B:$B,MATCH(B329,DB!$A:$A,0)),"-"))</f>
        <v/>
      </c>
      <c r="H329">
        <f>IF(B329="","",IF(G329="-","NEW ITEM",IF(F329=TEXT(G329,"0000000000"),"MATCH","MISMATCH")))</f>
        <v/>
      </c>
      <c r="I329">
        <f>IF(B329="","",IF(G329="-","-",IF(F329&lt;&gt;TEXT(G329,"0000000000"),"CHECK - HS MISMATCH","-")))</f>
        <v/>
      </c>
    </row>
    <row r="330" ht="15" customHeight="1">
      <c r="A330">
        <f>IF(INPUT!A330="","",INPUT!A330)</f>
        <v/>
      </c>
      <c r="B330">
        <f>IF(INPUT!B330="","",INPUT!B330)</f>
        <v/>
      </c>
      <c r="C330">
        <f>IF(INPUT!D330="","",INPUT!D330)</f>
        <v/>
      </c>
      <c r="D330">
        <f>IF(INPUT!C330="","",INPUT!C330)</f>
        <v/>
      </c>
      <c r="E330">
        <f>IF(INPUT!E330="","",INPUT!E330)</f>
        <v/>
      </c>
      <c r="F330">
        <f>IF(E330="","",TEXT(E330,"0000000000"))</f>
        <v/>
      </c>
      <c r="G330">
        <f>IF(B330="","",IFERROR(INDEX(DB!$B:$B,MATCH(B330,DB!$A:$A,0)),"-"))</f>
        <v/>
      </c>
      <c r="H330">
        <f>IF(B330="","",IF(G330="-","NEW ITEM",IF(F330=TEXT(G330,"0000000000"),"MATCH","MISMATCH")))</f>
        <v/>
      </c>
      <c r="I330">
        <f>IF(B330="","",IF(G330="-","-",IF(F330&lt;&gt;TEXT(G330,"0000000000"),"CHECK - HS MISMATCH","-")))</f>
        <v/>
      </c>
    </row>
    <row r="331" ht="15" customHeight="1">
      <c r="A331">
        <f>IF(INPUT!A331="","",INPUT!A331)</f>
        <v/>
      </c>
      <c r="B331">
        <f>IF(INPUT!B331="","",INPUT!B331)</f>
        <v/>
      </c>
      <c r="C331">
        <f>IF(INPUT!D331="","",INPUT!D331)</f>
        <v/>
      </c>
      <c r="D331">
        <f>IF(INPUT!C331="","",INPUT!C331)</f>
        <v/>
      </c>
      <c r="E331">
        <f>IF(INPUT!E331="","",INPUT!E331)</f>
        <v/>
      </c>
      <c r="F331">
        <f>IF(E331="","",TEXT(E331,"0000000000"))</f>
        <v/>
      </c>
      <c r="G331">
        <f>IF(B331="","",IFERROR(INDEX(DB!$B:$B,MATCH(B331,DB!$A:$A,0)),"-"))</f>
        <v/>
      </c>
      <c r="H331">
        <f>IF(B331="","",IF(G331="-","NEW ITEM",IF(F331=TEXT(G331,"0000000000"),"MATCH","MISMATCH")))</f>
        <v/>
      </c>
      <c r="I331">
        <f>IF(B331="","",IF(G331="-","-",IF(F331&lt;&gt;TEXT(G331,"0000000000"),"CHECK - HS MISMATCH","-")))</f>
        <v/>
      </c>
    </row>
    <row r="332" ht="15" customHeight="1">
      <c r="A332">
        <f>IF(INPUT!A332="","",INPUT!A332)</f>
        <v/>
      </c>
      <c r="B332">
        <f>IF(INPUT!B332="","",INPUT!B332)</f>
        <v/>
      </c>
      <c r="C332">
        <f>IF(INPUT!D332="","",INPUT!D332)</f>
        <v/>
      </c>
      <c r="D332">
        <f>IF(INPUT!C332="","",INPUT!C332)</f>
        <v/>
      </c>
      <c r="E332">
        <f>IF(INPUT!E332="","",INPUT!E332)</f>
        <v/>
      </c>
      <c r="F332">
        <f>IF(E332="","",TEXT(E332,"0000000000"))</f>
        <v/>
      </c>
      <c r="G332">
        <f>IF(B332="","",IFERROR(INDEX(DB!$B:$B,MATCH(B332,DB!$A:$A,0)),"-"))</f>
        <v/>
      </c>
      <c r="H332">
        <f>IF(B332="","",IF(G332="-","NEW ITEM",IF(F332=TEXT(G332,"0000000000"),"MATCH","MISMATCH")))</f>
        <v/>
      </c>
      <c r="I332">
        <f>IF(B332="","",IF(G332="-","-",IF(F332&lt;&gt;TEXT(G332,"0000000000"),"CHECK - HS MISMATCH","-")))</f>
        <v/>
      </c>
    </row>
    <row r="333" ht="15" customHeight="1">
      <c r="A333">
        <f>IF(INPUT!A333="","",INPUT!A333)</f>
        <v/>
      </c>
      <c r="B333">
        <f>IF(INPUT!B333="","",INPUT!B333)</f>
        <v/>
      </c>
      <c r="C333">
        <f>IF(INPUT!D333="","",INPUT!D333)</f>
        <v/>
      </c>
      <c r="D333">
        <f>IF(INPUT!C333="","",INPUT!C333)</f>
        <v/>
      </c>
      <c r="E333">
        <f>IF(INPUT!E333="","",INPUT!E333)</f>
        <v/>
      </c>
      <c r="F333">
        <f>IF(E333="","",TEXT(E333,"0000000000"))</f>
        <v/>
      </c>
      <c r="G333">
        <f>IF(B333="","",IFERROR(INDEX(DB!$B:$B,MATCH(B333,DB!$A:$A,0)),"-"))</f>
        <v/>
      </c>
      <c r="H333">
        <f>IF(B333="","",IF(G333="-","NEW ITEM",IF(F333=TEXT(G333,"0000000000"),"MATCH","MISMATCH")))</f>
        <v/>
      </c>
      <c r="I333">
        <f>IF(B333="","",IF(G333="-","-",IF(F333&lt;&gt;TEXT(G333,"0000000000"),"CHECK - HS MISMATCH","-")))</f>
        <v/>
      </c>
    </row>
    <row r="334" ht="15" customHeight="1">
      <c r="A334">
        <f>IF(INPUT!A334="","",INPUT!A334)</f>
        <v/>
      </c>
      <c r="B334">
        <f>IF(INPUT!B334="","",INPUT!B334)</f>
        <v/>
      </c>
      <c r="C334">
        <f>IF(INPUT!D334="","",INPUT!D334)</f>
        <v/>
      </c>
      <c r="D334">
        <f>IF(INPUT!C334="","",INPUT!C334)</f>
        <v/>
      </c>
      <c r="E334">
        <f>IF(INPUT!E334="","",INPUT!E334)</f>
        <v/>
      </c>
      <c r="F334">
        <f>IF(E334="","",TEXT(E334,"0000000000"))</f>
        <v/>
      </c>
      <c r="G334">
        <f>IF(B334="","",IFERROR(INDEX(DB!$B:$B,MATCH(B334,DB!$A:$A,0)),"-"))</f>
        <v/>
      </c>
      <c r="H334">
        <f>IF(B334="","",IF(G334="-","NEW ITEM",IF(F334=TEXT(G334,"0000000000"),"MATCH","MISMATCH")))</f>
        <v/>
      </c>
      <c r="I334">
        <f>IF(B334="","",IF(G334="-","-",IF(F334&lt;&gt;TEXT(G334,"0000000000"),"CHECK - HS MISMATCH","-")))</f>
        <v/>
      </c>
    </row>
    <row r="335" ht="15" customHeight="1">
      <c r="A335">
        <f>IF(INPUT!A335="","",INPUT!A335)</f>
        <v/>
      </c>
      <c r="B335">
        <f>IF(INPUT!B335="","",INPUT!B335)</f>
        <v/>
      </c>
      <c r="C335">
        <f>IF(INPUT!D335="","",INPUT!D335)</f>
        <v/>
      </c>
      <c r="D335">
        <f>IF(INPUT!C335="","",INPUT!C335)</f>
        <v/>
      </c>
      <c r="E335">
        <f>IF(INPUT!E335="","",INPUT!E335)</f>
        <v/>
      </c>
      <c r="F335">
        <f>IF(E335="","",TEXT(E335,"0000000000"))</f>
        <v/>
      </c>
      <c r="G335">
        <f>IF(B335="","",IFERROR(INDEX(DB!$B:$B,MATCH(B335,DB!$A:$A,0)),"-"))</f>
        <v/>
      </c>
      <c r="H335">
        <f>IF(B335="","",IF(G335="-","NEW ITEM",IF(F335=TEXT(G335,"0000000000"),"MATCH","MISMATCH")))</f>
        <v/>
      </c>
      <c r="I335">
        <f>IF(B335="","",IF(G335="-","-",IF(F335&lt;&gt;TEXT(G335,"0000000000"),"CHECK - HS MISMATCH","-")))</f>
        <v/>
      </c>
    </row>
    <row r="336" ht="15" customHeight="1">
      <c r="A336">
        <f>IF(INPUT!A336="","",INPUT!A336)</f>
        <v/>
      </c>
      <c r="B336">
        <f>IF(INPUT!B336="","",INPUT!B336)</f>
        <v/>
      </c>
      <c r="C336">
        <f>IF(INPUT!D336="","",INPUT!D336)</f>
        <v/>
      </c>
      <c r="D336">
        <f>IF(INPUT!C336="","",INPUT!C336)</f>
        <v/>
      </c>
      <c r="E336">
        <f>IF(INPUT!E336="","",INPUT!E336)</f>
        <v/>
      </c>
      <c r="F336">
        <f>IF(E336="","",TEXT(E336,"0000000000"))</f>
        <v/>
      </c>
      <c r="G336">
        <f>IF(B336="","",IFERROR(INDEX(DB!$B:$B,MATCH(B336,DB!$A:$A,0)),"-"))</f>
        <v/>
      </c>
      <c r="H336">
        <f>IF(B336="","",IF(G336="-","NEW ITEM",IF(F336=TEXT(G336,"0000000000"),"MATCH","MISMATCH")))</f>
        <v/>
      </c>
      <c r="I336">
        <f>IF(B336="","",IF(G336="-","-",IF(F336&lt;&gt;TEXT(G336,"0000000000"),"CHECK - HS MISMATCH","-")))</f>
        <v/>
      </c>
    </row>
    <row r="337" ht="15" customHeight="1">
      <c r="A337">
        <f>IF(INPUT!A337="","",INPUT!A337)</f>
        <v/>
      </c>
      <c r="B337">
        <f>IF(INPUT!B337="","",INPUT!B337)</f>
        <v/>
      </c>
      <c r="C337">
        <f>IF(INPUT!D337="","",INPUT!D337)</f>
        <v/>
      </c>
      <c r="D337">
        <f>IF(INPUT!C337="","",INPUT!C337)</f>
        <v/>
      </c>
      <c r="E337">
        <f>IF(INPUT!E337="","",INPUT!E337)</f>
        <v/>
      </c>
      <c r="F337">
        <f>IF(E337="","",TEXT(E337,"0000000000"))</f>
        <v/>
      </c>
      <c r="G337">
        <f>IF(B337="","",IFERROR(INDEX(DB!$B:$B,MATCH(B337,DB!$A:$A,0)),"-"))</f>
        <v/>
      </c>
      <c r="H337">
        <f>IF(B337="","",IF(G337="-","NEW ITEM",IF(F337=TEXT(G337,"0000000000"),"MATCH","MISMATCH")))</f>
        <v/>
      </c>
      <c r="I337">
        <f>IF(B337="","",IF(G337="-","-",IF(F337&lt;&gt;TEXT(G337,"0000000000"),"CHECK - HS MISMATCH","-")))</f>
        <v/>
      </c>
    </row>
    <row r="338" ht="15" customHeight="1">
      <c r="A338">
        <f>IF(INPUT!A338="","",INPUT!A338)</f>
        <v/>
      </c>
      <c r="B338">
        <f>IF(INPUT!B338="","",INPUT!B338)</f>
        <v/>
      </c>
      <c r="C338">
        <f>IF(INPUT!D338="","",INPUT!D338)</f>
        <v/>
      </c>
      <c r="D338">
        <f>IF(INPUT!C338="","",INPUT!C338)</f>
        <v/>
      </c>
      <c r="E338">
        <f>IF(INPUT!E338="","",INPUT!E338)</f>
        <v/>
      </c>
      <c r="F338">
        <f>IF(E338="","",TEXT(E338,"0000000000"))</f>
        <v/>
      </c>
      <c r="G338">
        <f>IF(B338="","",IFERROR(INDEX(DB!$B:$B,MATCH(B338,DB!$A:$A,0)),"-"))</f>
        <v/>
      </c>
      <c r="H338">
        <f>IF(B338="","",IF(G338="-","NEW ITEM",IF(F338=TEXT(G338,"0000000000"),"MATCH","MISMATCH")))</f>
        <v/>
      </c>
      <c r="I338">
        <f>IF(B338="","",IF(G338="-","-",IF(F338&lt;&gt;TEXT(G338,"0000000000"),"CHECK - HS MISMATCH","-")))</f>
        <v/>
      </c>
    </row>
    <row r="339" ht="15" customHeight="1">
      <c r="A339">
        <f>IF(INPUT!A339="","",INPUT!A339)</f>
        <v/>
      </c>
      <c r="B339">
        <f>IF(INPUT!B339="","",INPUT!B339)</f>
        <v/>
      </c>
      <c r="C339">
        <f>IF(INPUT!D339="","",INPUT!D339)</f>
        <v/>
      </c>
      <c r="D339">
        <f>IF(INPUT!C339="","",INPUT!C339)</f>
        <v/>
      </c>
      <c r="E339">
        <f>IF(INPUT!E339="","",INPUT!E339)</f>
        <v/>
      </c>
      <c r="F339">
        <f>IF(E339="","",TEXT(E339,"0000000000"))</f>
        <v/>
      </c>
      <c r="G339">
        <f>IF(B339="","",IFERROR(INDEX(DB!$B:$B,MATCH(B339,DB!$A:$A,0)),"-"))</f>
        <v/>
      </c>
      <c r="H339">
        <f>IF(B339="","",IF(G339="-","NEW ITEM",IF(F339=TEXT(G339,"0000000000"),"MATCH","MISMATCH")))</f>
        <v/>
      </c>
      <c r="I339">
        <f>IF(B339="","",IF(G339="-","-",IF(F339&lt;&gt;TEXT(G339,"0000000000"),"CHECK - HS MISMATCH","-")))</f>
        <v/>
      </c>
    </row>
    <row r="340" ht="15" customHeight="1">
      <c r="A340">
        <f>IF(INPUT!A340="","",INPUT!A340)</f>
        <v/>
      </c>
      <c r="B340">
        <f>IF(INPUT!B340="","",INPUT!B340)</f>
        <v/>
      </c>
      <c r="C340">
        <f>IF(INPUT!D340="","",INPUT!D340)</f>
        <v/>
      </c>
      <c r="D340">
        <f>IF(INPUT!C340="","",INPUT!C340)</f>
        <v/>
      </c>
      <c r="E340">
        <f>IF(INPUT!E340="","",INPUT!E340)</f>
        <v/>
      </c>
      <c r="F340">
        <f>IF(E340="","",TEXT(E340,"0000000000"))</f>
        <v/>
      </c>
      <c r="G340">
        <f>IF(B340="","",IFERROR(INDEX(DB!$B:$B,MATCH(B340,DB!$A:$A,0)),"-"))</f>
        <v/>
      </c>
      <c r="H340">
        <f>IF(B340="","",IF(G340="-","NEW ITEM",IF(F340=TEXT(G340,"0000000000"),"MATCH","MISMATCH")))</f>
        <v/>
      </c>
      <c r="I340">
        <f>IF(B340="","",IF(G340="-","-",IF(F340&lt;&gt;TEXT(G340,"0000000000"),"CHECK - HS MISMATCH","-")))</f>
        <v/>
      </c>
    </row>
    <row r="341" ht="15" customHeight="1">
      <c r="A341">
        <f>IF(INPUT!A341="","",INPUT!A341)</f>
        <v/>
      </c>
      <c r="B341">
        <f>IF(INPUT!B341="","",INPUT!B341)</f>
        <v/>
      </c>
      <c r="C341">
        <f>IF(INPUT!D341="","",INPUT!D341)</f>
        <v/>
      </c>
      <c r="D341">
        <f>IF(INPUT!C341="","",INPUT!C341)</f>
        <v/>
      </c>
      <c r="E341">
        <f>IF(INPUT!E341="","",INPUT!E341)</f>
        <v/>
      </c>
      <c r="F341">
        <f>IF(E341="","",TEXT(E341,"0000000000"))</f>
        <v/>
      </c>
      <c r="G341">
        <f>IF(B341="","",IFERROR(INDEX(DB!$B:$B,MATCH(B341,DB!$A:$A,0)),"-"))</f>
        <v/>
      </c>
      <c r="H341">
        <f>IF(B341="","",IF(G341="-","NEW ITEM",IF(F341=TEXT(G341,"0000000000"),"MATCH","MISMATCH")))</f>
        <v/>
      </c>
      <c r="I341">
        <f>IF(B341="","",IF(G341="-","-",IF(F341&lt;&gt;TEXT(G341,"0000000000"),"CHECK - HS MISMATCH","-")))</f>
        <v/>
      </c>
    </row>
    <row r="342" ht="15" customHeight="1">
      <c r="A342">
        <f>IF(INPUT!A342="","",INPUT!A342)</f>
        <v/>
      </c>
      <c r="B342">
        <f>IF(INPUT!B342="","",INPUT!B342)</f>
        <v/>
      </c>
      <c r="C342">
        <f>IF(INPUT!D342="","",INPUT!D342)</f>
        <v/>
      </c>
      <c r="D342">
        <f>IF(INPUT!C342="","",INPUT!C342)</f>
        <v/>
      </c>
      <c r="E342">
        <f>IF(INPUT!E342="","",INPUT!E342)</f>
        <v/>
      </c>
      <c r="F342">
        <f>IF(E342="","",TEXT(E342,"0000000000"))</f>
        <v/>
      </c>
      <c r="G342">
        <f>IF(B342="","",IFERROR(INDEX(DB!$B:$B,MATCH(B342,DB!$A:$A,0)),"-"))</f>
        <v/>
      </c>
      <c r="H342">
        <f>IF(B342="","",IF(G342="-","NEW ITEM",IF(F342=TEXT(G342,"0000000000"),"MATCH","MISMATCH")))</f>
        <v/>
      </c>
      <c r="I342">
        <f>IF(B342="","",IF(G342="-","-",IF(F342&lt;&gt;TEXT(G342,"0000000000"),"CHECK - HS MISMATCH","-")))</f>
        <v/>
      </c>
    </row>
    <row r="343" ht="15" customHeight="1">
      <c r="A343">
        <f>IF(INPUT!A343="","",INPUT!A343)</f>
        <v/>
      </c>
      <c r="B343">
        <f>IF(INPUT!B343="","",INPUT!B343)</f>
        <v/>
      </c>
      <c r="C343">
        <f>IF(INPUT!D343="","",INPUT!D343)</f>
        <v/>
      </c>
      <c r="D343">
        <f>IF(INPUT!C343="","",INPUT!C343)</f>
        <v/>
      </c>
      <c r="E343">
        <f>IF(INPUT!E343="","",INPUT!E343)</f>
        <v/>
      </c>
      <c r="F343">
        <f>IF(E343="","",TEXT(E343,"0000000000"))</f>
        <v/>
      </c>
      <c r="G343">
        <f>IF(B343="","",IFERROR(INDEX(DB!$B:$B,MATCH(B343,DB!$A:$A,0)),"-"))</f>
        <v/>
      </c>
      <c r="H343">
        <f>IF(B343="","",IF(G343="-","NEW ITEM",IF(F343=TEXT(G343,"0000000000"),"MATCH","MISMATCH")))</f>
        <v/>
      </c>
      <c r="I343">
        <f>IF(B343="","",IF(G343="-","-",IF(F343&lt;&gt;TEXT(G343,"0000000000"),"CHECK - HS MISMATCH","-")))</f>
        <v/>
      </c>
    </row>
    <row r="344" ht="15" customHeight="1">
      <c r="A344">
        <f>IF(INPUT!A344="","",INPUT!A344)</f>
        <v/>
      </c>
      <c r="B344">
        <f>IF(INPUT!B344="","",INPUT!B344)</f>
        <v/>
      </c>
      <c r="C344">
        <f>IF(INPUT!D344="","",INPUT!D344)</f>
        <v/>
      </c>
      <c r="D344">
        <f>IF(INPUT!C344="","",INPUT!C344)</f>
        <v/>
      </c>
      <c r="E344">
        <f>IF(INPUT!E344="","",INPUT!E344)</f>
        <v/>
      </c>
      <c r="F344">
        <f>IF(E344="","",TEXT(E344,"0000000000"))</f>
        <v/>
      </c>
      <c r="G344">
        <f>IF(B344="","",IFERROR(INDEX(DB!$B:$B,MATCH(B344,DB!$A:$A,0)),"-"))</f>
        <v/>
      </c>
      <c r="H344">
        <f>IF(B344="","",IF(G344="-","NEW ITEM",IF(F344=TEXT(G344,"0000000000"),"MATCH","MISMATCH")))</f>
        <v/>
      </c>
      <c r="I344">
        <f>IF(B344="","",IF(G344="-","-",IF(F344&lt;&gt;TEXT(G344,"0000000000"),"CHECK - HS MISMATCH","-")))</f>
        <v/>
      </c>
    </row>
    <row r="345" ht="15" customHeight="1">
      <c r="A345">
        <f>IF(INPUT!A345="","",INPUT!A345)</f>
        <v/>
      </c>
      <c r="B345">
        <f>IF(INPUT!B345="","",INPUT!B345)</f>
        <v/>
      </c>
      <c r="C345">
        <f>IF(INPUT!D345="","",INPUT!D345)</f>
        <v/>
      </c>
      <c r="D345">
        <f>IF(INPUT!C345="","",INPUT!C345)</f>
        <v/>
      </c>
      <c r="E345">
        <f>IF(INPUT!E345="","",INPUT!E345)</f>
        <v/>
      </c>
      <c r="F345">
        <f>IF(E345="","",TEXT(E345,"0000000000"))</f>
        <v/>
      </c>
      <c r="G345">
        <f>IF(B345="","",IFERROR(INDEX(DB!$B:$B,MATCH(B345,DB!$A:$A,0)),"-"))</f>
        <v/>
      </c>
      <c r="H345">
        <f>IF(B345="","",IF(G345="-","NEW ITEM",IF(F345=TEXT(G345,"0000000000"),"MATCH","MISMATCH")))</f>
        <v/>
      </c>
      <c r="I345">
        <f>IF(B345="","",IF(G345="-","-",IF(F345&lt;&gt;TEXT(G345,"0000000000"),"CHECK - HS MISMATCH","-")))</f>
        <v/>
      </c>
    </row>
    <row r="346" ht="15" customHeight="1">
      <c r="A346">
        <f>IF(INPUT!A346="","",INPUT!A346)</f>
        <v/>
      </c>
      <c r="B346">
        <f>IF(INPUT!B346="","",INPUT!B346)</f>
        <v/>
      </c>
      <c r="C346">
        <f>IF(INPUT!D346="","",INPUT!D346)</f>
        <v/>
      </c>
      <c r="D346">
        <f>IF(INPUT!C346="","",INPUT!C346)</f>
        <v/>
      </c>
      <c r="E346">
        <f>IF(INPUT!E346="","",INPUT!E346)</f>
        <v/>
      </c>
      <c r="F346">
        <f>IF(E346="","",TEXT(E346,"0000000000"))</f>
        <v/>
      </c>
      <c r="G346">
        <f>IF(B346="","",IFERROR(INDEX(DB!$B:$B,MATCH(B346,DB!$A:$A,0)),"-"))</f>
        <v/>
      </c>
      <c r="H346">
        <f>IF(B346="","",IF(G346="-","NEW ITEM",IF(F346=TEXT(G346,"0000000000"),"MATCH","MISMATCH")))</f>
        <v/>
      </c>
      <c r="I346">
        <f>IF(B346="","",IF(G346="-","-",IF(F346&lt;&gt;TEXT(G346,"0000000000"),"CHECK - HS MISMATCH","-")))</f>
        <v/>
      </c>
    </row>
    <row r="347" ht="15" customHeight="1">
      <c r="A347">
        <f>IF(INPUT!A347="","",INPUT!A347)</f>
        <v/>
      </c>
      <c r="B347">
        <f>IF(INPUT!B347="","",INPUT!B347)</f>
        <v/>
      </c>
      <c r="C347">
        <f>IF(INPUT!D347="","",INPUT!D347)</f>
        <v/>
      </c>
      <c r="D347">
        <f>IF(INPUT!C347="","",INPUT!C347)</f>
        <v/>
      </c>
      <c r="E347">
        <f>IF(INPUT!E347="","",INPUT!E347)</f>
        <v/>
      </c>
      <c r="F347">
        <f>IF(E347="","",TEXT(E347,"0000000000"))</f>
        <v/>
      </c>
      <c r="G347">
        <f>IF(B347="","",IFERROR(INDEX(DB!$B:$B,MATCH(B347,DB!$A:$A,0)),"-"))</f>
        <v/>
      </c>
      <c r="H347">
        <f>IF(B347="","",IF(G347="-","NEW ITEM",IF(F347=TEXT(G347,"0000000000"),"MATCH","MISMATCH")))</f>
        <v/>
      </c>
      <c r="I347">
        <f>IF(B347="","",IF(G347="-","-",IF(F347&lt;&gt;TEXT(G347,"0000000000"),"CHECK - HS MISMATCH","-")))</f>
        <v/>
      </c>
    </row>
    <row r="348" ht="15" customHeight="1">
      <c r="A348">
        <f>IF(INPUT!A348="","",INPUT!A348)</f>
        <v/>
      </c>
      <c r="B348">
        <f>IF(INPUT!B348="","",INPUT!B348)</f>
        <v/>
      </c>
      <c r="C348">
        <f>IF(INPUT!D348="","",INPUT!D348)</f>
        <v/>
      </c>
      <c r="D348">
        <f>IF(INPUT!C348="","",INPUT!C348)</f>
        <v/>
      </c>
      <c r="E348">
        <f>IF(INPUT!E348="","",INPUT!E348)</f>
        <v/>
      </c>
      <c r="F348">
        <f>IF(E348="","",TEXT(E348,"0000000000"))</f>
        <v/>
      </c>
      <c r="G348">
        <f>IF(B348="","",IFERROR(INDEX(DB!$B:$B,MATCH(B348,DB!$A:$A,0)),"-"))</f>
        <v/>
      </c>
      <c r="H348">
        <f>IF(B348="","",IF(G348="-","NEW ITEM",IF(F348=TEXT(G348,"0000000000"),"MATCH","MISMATCH")))</f>
        <v/>
      </c>
      <c r="I348">
        <f>IF(B348="","",IF(G348="-","-",IF(F348&lt;&gt;TEXT(G348,"0000000000"),"CHECK - HS MISMATCH","-")))</f>
        <v/>
      </c>
    </row>
    <row r="349" ht="15" customHeight="1">
      <c r="A349">
        <f>IF(INPUT!A349="","",INPUT!A349)</f>
        <v/>
      </c>
      <c r="B349">
        <f>IF(INPUT!B349="","",INPUT!B349)</f>
        <v/>
      </c>
      <c r="C349">
        <f>IF(INPUT!D349="","",INPUT!D349)</f>
        <v/>
      </c>
      <c r="D349">
        <f>IF(INPUT!C349="","",INPUT!C349)</f>
        <v/>
      </c>
      <c r="E349">
        <f>IF(INPUT!E349="","",INPUT!E349)</f>
        <v/>
      </c>
      <c r="F349">
        <f>IF(E349="","",TEXT(E349,"0000000000"))</f>
        <v/>
      </c>
      <c r="G349">
        <f>IF(B349="","",IFERROR(INDEX(DB!$B:$B,MATCH(B349,DB!$A:$A,0)),"-"))</f>
        <v/>
      </c>
      <c r="H349">
        <f>IF(B349="","",IF(G349="-","NEW ITEM",IF(F349=TEXT(G349,"0000000000"),"MATCH","MISMATCH")))</f>
        <v/>
      </c>
      <c r="I349">
        <f>IF(B349="","",IF(G349="-","-",IF(F349&lt;&gt;TEXT(G349,"0000000000"),"CHECK - HS MISMATCH","-")))</f>
        <v/>
      </c>
    </row>
    <row r="350" ht="15" customHeight="1">
      <c r="A350">
        <f>IF(INPUT!A350="","",INPUT!A350)</f>
        <v/>
      </c>
      <c r="B350">
        <f>IF(INPUT!B350="","",INPUT!B350)</f>
        <v/>
      </c>
      <c r="C350">
        <f>IF(INPUT!D350="","",INPUT!D350)</f>
        <v/>
      </c>
      <c r="D350">
        <f>IF(INPUT!C350="","",INPUT!C350)</f>
        <v/>
      </c>
      <c r="E350">
        <f>IF(INPUT!E350="","",INPUT!E350)</f>
        <v/>
      </c>
      <c r="F350">
        <f>IF(E350="","",TEXT(E350,"0000000000"))</f>
        <v/>
      </c>
      <c r="G350">
        <f>IF(B350="","",IFERROR(INDEX(DB!$B:$B,MATCH(B350,DB!$A:$A,0)),"-"))</f>
        <v/>
      </c>
      <c r="H350">
        <f>IF(B350="","",IF(G350="-","NEW ITEM",IF(F350=TEXT(G350,"0000000000"),"MATCH","MISMATCH")))</f>
        <v/>
      </c>
      <c r="I350">
        <f>IF(B350="","",IF(G350="-","-",IF(F350&lt;&gt;TEXT(G350,"0000000000"),"CHECK - HS MISMATCH","-")))</f>
        <v/>
      </c>
    </row>
    <row r="351" ht="15" customHeight="1">
      <c r="A351">
        <f>IF(INPUT!A351="","",INPUT!A351)</f>
        <v/>
      </c>
      <c r="B351">
        <f>IF(INPUT!B351="","",INPUT!B351)</f>
        <v/>
      </c>
      <c r="C351">
        <f>IF(INPUT!D351="","",INPUT!D351)</f>
        <v/>
      </c>
      <c r="D351">
        <f>IF(INPUT!C351="","",INPUT!C351)</f>
        <v/>
      </c>
      <c r="E351">
        <f>IF(INPUT!E351="","",INPUT!E351)</f>
        <v/>
      </c>
      <c r="F351">
        <f>IF(E351="","",TEXT(E351,"0000000000"))</f>
        <v/>
      </c>
      <c r="G351">
        <f>IF(B351="","",IFERROR(INDEX(DB!$B:$B,MATCH(B351,DB!$A:$A,0)),"-"))</f>
        <v/>
      </c>
      <c r="H351">
        <f>IF(B351="","",IF(G351="-","NEW ITEM",IF(F351=TEXT(G351,"0000000000"),"MATCH","MISMATCH")))</f>
        <v/>
      </c>
      <c r="I351">
        <f>IF(B351="","",IF(G351="-","-",IF(F351&lt;&gt;TEXT(G351,"0000000000"),"CHECK - HS MISMATCH","-")))</f>
        <v/>
      </c>
    </row>
    <row r="352" ht="15" customHeight="1">
      <c r="A352">
        <f>IF(INPUT!A352="","",INPUT!A352)</f>
        <v/>
      </c>
      <c r="B352">
        <f>IF(INPUT!B352="","",INPUT!B352)</f>
        <v/>
      </c>
      <c r="C352">
        <f>IF(INPUT!D352="","",INPUT!D352)</f>
        <v/>
      </c>
      <c r="D352">
        <f>IF(INPUT!C352="","",INPUT!C352)</f>
        <v/>
      </c>
      <c r="E352">
        <f>IF(INPUT!E352="","",INPUT!E352)</f>
        <v/>
      </c>
      <c r="F352">
        <f>IF(E352="","",TEXT(E352,"0000000000"))</f>
        <v/>
      </c>
      <c r="G352">
        <f>IF(B352="","",IFERROR(INDEX(DB!$B:$B,MATCH(B352,DB!$A:$A,0)),"-"))</f>
        <v/>
      </c>
      <c r="H352">
        <f>IF(B352="","",IF(G352="-","NEW ITEM",IF(F352=TEXT(G352,"0000000000"),"MATCH","MISMATCH")))</f>
        <v/>
      </c>
      <c r="I352">
        <f>IF(B352="","",IF(G352="-","-",IF(F352&lt;&gt;TEXT(G352,"0000000000"),"CHECK - HS MISMATCH","-")))</f>
        <v/>
      </c>
    </row>
    <row r="353" ht="15" customHeight="1">
      <c r="A353">
        <f>IF(INPUT!A353="","",INPUT!A353)</f>
        <v/>
      </c>
      <c r="B353">
        <f>IF(INPUT!B353="","",INPUT!B353)</f>
        <v/>
      </c>
      <c r="C353">
        <f>IF(INPUT!D353="","",INPUT!D353)</f>
        <v/>
      </c>
      <c r="D353">
        <f>IF(INPUT!C353="","",INPUT!C353)</f>
        <v/>
      </c>
      <c r="E353">
        <f>IF(INPUT!E353="","",INPUT!E353)</f>
        <v/>
      </c>
      <c r="F353">
        <f>IF(E353="","",TEXT(E353,"0000000000"))</f>
        <v/>
      </c>
      <c r="G353">
        <f>IF(B353="","",IFERROR(INDEX(DB!$B:$B,MATCH(B353,DB!$A:$A,0)),"-"))</f>
        <v/>
      </c>
      <c r="H353">
        <f>IF(B353="","",IF(G353="-","NEW ITEM",IF(F353=TEXT(G353,"0000000000"),"MATCH","MISMATCH")))</f>
        <v/>
      </c>
      <c r="I353">
        <f>IF(B353="","",IF(G353="-","-",IF(F353&lt;&gt;TEXT(G353,"0000000000"),"CHECK - HS MISMATCH","-")))</f>
        <v/>
      </c>
    </row>
    <row r="354" ht="15" customHeight="1">
      <c r="A354">
        <f>IF(INPUT!A354="","",INPUT!A354)</f>
        <v/>
      </c>
      <c r="B354">
        <f>IF(INPUT!B354="","",INPUT!B354)</f>
        <v/>
      </c>
      <c r="C354">
        <f>IF(INPUT!D354="","",INPUT!D354)</f>
        <v/>
      </c>
      <c r="D354">
        <f>IF(INPUT!C354="","",INPUT!C354)</f>
        <v/>
      </c>
      <c r="E354">
        <f>IF(INPUT!E354="","",INPUT!E354)</f>
        <v/>
      </c>
      <c r="F354">
        <f>IF(E354="","",TEXT(E354,"0000000000"))</f>
        <v/>
      </c>
      <c r="G354">
        <f>IF(B354="","",IFERROR(INDEX(DB!$B:$B,MATCH(B354,DB!$A:$A,0)),"-"))</f>
        <v/>
      </c>
      <c r="H354">
        <f>IF(B354="","",IF(G354="-","NEW ITEM",IF(F354=TEXT(G354,"0000000000"),"MATCH","MISMATCH")))</f>
        <v/>
      </c>
      <c r="I354">
        <f>IF(B354="","",IF(G354="-","-",IF(F354&lt;&gt;TEXT(G354,"0000000000"),"CHECK - HS MISMATCH","-")))</f>
        <v/>
      </c>
    </row>
    <row r="355" ht="15" customHeight="1">
      <c r="A355">
        <f>IF(INPUT!A355="","",INPUT!A355)</f>
        <v/>
      </c>
      <c r="B355">
        <f>IF(INPUT!B355="","",INPUT!B355)</f>
        <v/>
      </c>
      <c r="C355">
        <f>IF(INPUT!D355="","",INPUT!D355)</f>
        <v/>
      </c>
      <c r="D355">
        <f>IF(INPUT!C355="","",INPUT!C355)</f>
        <v/>
      </c>
      <c r="E355">
        <f>IF(INPUT!E355="","",INPUT!E355)</f>
        <v/>
      </c>
      <c r="F355">
        <f>IF(E355="","",TEXT(E355,"0000000000"))</f>
        <v/>
      </c>
      <c r="G355">
        <f>IF(B355="","",IFERROR(INDEX(DB!$B:$B,MATCH(B355,DB!$A:$A,0)),"-"))</f>
        <v/>
      </c>
      <c r="H355">
        <f>IF(B355="","",IF(G355="-","NEW ITEM",IF(F355=TEXT(G355,"0000000000"),"MATCH","MISMATCH")))</f>
        <v/>
      </c>
      <c r="I355">
        <f>IF(B355="","",IF(G355="-","-",IF(F355&lt;&gt;TEXT(G355,"0000000000"),"CHECK - HS MISMATCH","-")))</f>
        <v/>
      </c>
    </row>
    <row r="356" ht="15" customHeight="1">
      <c r="A356">
        <f>IF(INPUT!A356="","",INPUT!A356)</f>
        <v/>
      </c>
      <c r="B356">
        <f>IF(INPUT!B356="","",INPUT!B356)</f>
        <v/>
      </c>
      <c r="C356">
        <f>IF(INPUT!D356="","",INPUT!D356)</f>
        <v/>
      </c>
      <c r="D356">
        <f>IF(INPUT!C356="","",INPUT!C356)</f>
        <v/>
      </c>
      <c r="E356">
        <f>IF(INPUT!E356="","",INPUT!E356)</f>
        <v/>
      </c>
      <c r="F356">
        <f>IF(E356="","",TEXT(E356,"0000000000"))</f>
        <v/>
      </c>
      <c r="G356">
        <f>IF(B356="","",IFERROR(INDEX(DB!$B:$B,MATCH(B356,DB!$A:$A,0)),"-"))</f>
        <v/>
      </c>
      <c r="H356">
        <f>IF(B356="","",IF(G356="-","NEW ITEM",IF(F356=TEXT(G356,"0000000000"),"MATCH","MISMATCH")))</f>
        <v/>
      </c>
      <c r="I356">
        <f>IF(B356="","",IF(G356="-","-",IF(F356&lt;&gt;TEXT(G356,"0000000000"),"CHECK - HS MISMATCH","-")))</f>
        <v/>
      </c>
    </row>
    <row r="357" ht="15" customHeight="1">
      <c r="A357">
        <f>IF(INPUT!A357="","",INPUT!A357)</f>
        <v/>
      </c>
      <c r="B357">
        <f>IF(INPUT!B357="","",INPUT!B357)</f>
        <v/>
      </c>
      <c r="C357">
        <f>IF(INPUT!D357="","",INPUT!D357)</f>
        <v/>
      </c>
      <c r="D357">
        <f>IF(INPUT!C357="","",INPUT!C357)</f>
        <v/>
      </c>
      <c r="E357">
        <f>IF(INPUT!E357="","",INPUT!E357)</f>
        <v/>
      </c>
      <c r="F357">
        <f>IF(E357="","",TEXT(E357,"0000000000"))</f>
        <v/>
      </c>
      <c r="G357">
        <f>IF(B357="","",IFERROR(INDEX(DB!$B:$B,MATCH(B357,DB!$A:$A,0)),"-"))</f>
        <v/>
      </c>
      <c r="H357">
        <f>IF(B357="","",IF(G357="-","NEW ITEM",IF(F357=TEXT(G357,"0000000000"),"MATCH","MISMATCH")))</f>
        <v/>
      </c>
      <c r="I357">
        <f>IF(B357="","",IF(G357="-","-",IF(F357&lt;&gt;TEXT(G357,"0000000000"),"CHECK - HS MISMATCH","-")))</f>
        <v/>
      </c>
    </row>
    <row r="358" ht="15" customHeight="1">
      <c r="A358">
        <f>IF(INPUT!A358="","",INPUT!A358)</f>
        <v/>
      </c>
      <c r="B358">
        <f>IF(INPUT!B358="","",INPUT!B358)</f>
        <v/>
      </c>
      <c r="C358">
        <f>IF(INPUT!D358="","",INPUT!D358)</f>
        <v/>
      </c>
      <c r="D358">
        <f>IF(INPUT!C358="","",INPUT!C358)</f>
        <v/>
      </c>
      <c r="E358">
        <f>IF(INPUT!E358="","",INPUT!E358)</f>
        <v/>
      </c>
      <c r="F358">
        <f>IF(E358="","",TEXT(E358,"0000000000"))</f>
        <v/>
      </c>
      <c r="G358">
        <f>IF(B358="","",IFERROR(INDEX(DB!$B:$B,MATCH(B358,DB!$A:$A,0)),"-"))</f>
        <v/>
      </c>
      <c r="H358">
        <f>IF(B358="","",IF(G358="-","NEW ITEM",IF(F358=TEXT(G358,"0000000000"),"MATCH","MISMATCH")))</f>
        <v/>
      </c>
      <c r="I358">
        <f>IF(B358="","",IF(G358="-","-",IF(F358&lt;&gt;TEXT(G358,"0000000000"),"CHECK - HS MISMATCH","-")))</f>
        <v/>
      </c>
    </row>
    <row r="359" ht="15" customHeight="1">
      <c r="A359">
        <f>IF(INPUT!A359="","",INPUT!A359)</f>
        <v/>
      </c>
      <c r="B359">
        <f>IF(INPUT!B359="","",INPUT!B359)</f>
        <v/>
      </c>
      <c r="C359">
        <f>IF(INPUT!D359="","",INPUT!D359)</f>
        <v/>
      </c>
      <c r="D359">
        <f>IF(INPUT!C359="","",INPUT!C359)</f>
        <v/>
      </c>
      <c r="E359">
        <f>IF(INPUT!E359="","",INPUT!E359)</f>
        <v/>
      </c>
      <c r="F359">
        <f>IF(E359="","",TEXT(E359,"0000000000"))</f>
        <v/>
      </c>
      <c r="G359">
        <f>IF(B359="","",IFERROR(INDEX(DB!$B:$B,MATCH(B359,DB!$A:$A,0)),"-"))</f>
        <v/>
      </c>
      <c r="H359">
        <f>IF(B359="","",IF(G359="-","NEW ITEM",IF(F359=TEXT(G359,"0000000000"),"MATCH","MISMATCH")))</f>
        <v/>
      </c>
      <c r="I359">
        <f>IF(B359="","",IF(G359="-","-",IF(F359&lt;&gt;TEXT(G359,"0000000000"),"CHECK - HS MISMATCH","-")))</f>
        <v/>
      </c>
    </row>
    <row r="360" ht="15" customHeight="1">
      <c r="A360">
        <f>IF(INPUT!A360="","",INPUT!A360)</f>
        <v/>
      </c>
      <c r="B360">
        <f>IF(INPUT!B360="","",INPUT!B360)</f>
        <v/>
      </c>
      <c r="C360">
        <f>IF(INPUT!D360="","",INPUT!D360)</f>
        <v/>
      </c>
      <c r="D360">
        <f>IF(INPUT!C360="","",INPUT!C360)</f>
        <v/>
      </c>
      <c r="E360">
        <f>IF(INPUT!E360="","",INPUT!E360)</f>
        <v/>
      </c>
      <c r="F360">
        <f>IF(E360="","",TEXT(E360,"0000000000"))</f>
        <v/>
      </c>
      <c r="G360">
        <f>IF(B360="","",IFERROR(INDEX(DB!$B:$B,MATCH(B360,DB!$A:$A,0)),"-"))</f>
        <v/>
      </c>
      <c r="H360">
        <f>IF(B360="","",IF(G360="-","NEW ITEM",IF(F360=TEXT(G360,"0000000000"),"MATCH","MISMATCH")))</f>
        <v/>
      </c>
      <c r="I360">
        <f>IF(B360="","",IF(G360="-","-",IF(F360&lt;&gt;TEXT(G360,"0000000000"),"CHECK - HS MISMATCH","-")))</f>
        <v/>
      </c>
    </row>
    <row r="361" ht="15" customHeight="1">
      <c r="A361">
        <f>IF(INPUT!A361="","",INPUT!A361)</f>
        <v/>
      </c>
      <c r="B361">
        <f>IF(INPUT!B361="","",INPUT!B361)</f>
        <v/>
      </c>
      <c r="C361">
        <f>IF(INPUT!D361="","",INPUT!D361)</f>
        <v/>
      </c>
      <c r="D361">
        <f>IF(INPUT!C361="","",INPUT!C361)</f>
        <v/>
      </c>
      <c r="E361">
        <f>IF(INPUT!E361="","",INPUT!E361)</f>
        <v/>
      </c>
      <c r="F361">
        <f>IF(E361="","",TEXT(E361,"0000000000"))</f>
        <v/>
      </c>
      <c r="G361">
        <f>IF(B361="","",IFERROR(INDEX(DB!$B:$B,MATCH(B361,DB!$A:$A,0)),"-"))</f>
        <v/>
      </c>
      <c r="H361">
        <f>IF(B361="","",IF(G361="-","NEW ITEM",IF(F361=TEXT(G361,"0000000000"),"MATCH","MISMATCH")))</f>
        <v/>
      </c>
      <c r="I361">
        <f>IF(B361="","",IF(G361="-","-",IF(F361&lt;&gt;TEXT(G361,"0000000000"),"CHECK - HS MISMATCH","-")))</f>
        <v/>
      </c>
    </row>
    <row r="362" ht="15" customHeight="1">
      <c r="A362">
        <f>IF(INPUT!A362="","",INPUT!A362)</f>
        <v/>
      </c>
      <c r="B362">
        <f>IF(INPUT!B362="","",INPUT!B362)</f>
        <v/>
      </c>
      <c r="C362">
        <f>IF(INPUT!D362="","",INPUT!D362)</f>
        <v/>
      </c>
      <c r="D362">
        <f>IF(INPUT!C362="","",INPUT!C362)</f>
        <v/>
      </c>
      <c r="E362">
        <f>IF(INPUT!E362="","",INPUT!E362)</f>
        <v/>
      </c>
      <c r="F362">
        <f>IF(E362="","",TEXT(E362,"0000000000"))</f>
        <v/>
      </c>
      <c r="G362">
        <f>IF(B362="","",IFERROR(INDEX(DB!$B:$B,MATCH(B362,DB!$A:$A,0)),"-"))</f>
        <v/>
      </c>
      <c r="H362">
        <f>IF(B362="","",IF(G362="-","NEW ITEM",IF(F362=TEXT(G362,"0000000000"),"MATCH","MISMATCH")))</f>
        <v/>
      </c>
      <c r="I362">
        <f>IF(B362="","",IF(G362="-","-",IF(F362&lt;&gt;TEXT(G362,"0000000000"),"CHECK - HS MISMATCH","-")))</f>
        <v/>
      </c>
    </row>
    <row r="363" ht="15" customHeight="1">
      <c r="A363">
        <f>IF(INPUT!A363="","",INPUT!A363)</f>
        <v/>
      </c>
      <c r="B363">
        <f>IF(INPUT!B363="","",INPUT!B363)</f>
        <v/>
      </c>
      <c r="C363">
        <f>IF(INPUT!D363="","",INPUT!D363)</f>
        <v/>
      </c>
      <c r="D363">
        <f>IF(INPUT!C363="","",INPUT!C363)</f>
        <v/>
      </c>
      <c r="E363">
        <f>IF(INPUT!E363="","",INPUT!E363)</f>
        <v/>
      </c>
      <c r="F363">
        <f>IF(E363="","",TEXT(E363,"0000000000"))</f>
        <v/>
      </c>
      <c r="G363">
        <f>IF(B363="","",IFERROR(INDEX(DB!$B:$B,MATCH(B363,DB!$A:$A,0)),"-"))</f>
        <v/>
      </c>
      <c r="H363">
        <f>IF(B363="","",IF(G363="-","NEW ITEM",IF(F363=TEXT(G363,"0000000000"),"MATCH","MISMATCH")))</f>
        <v/>
      </c>
      <c r="I363">
        <f>IF(B363="","",IF(G363="-","-",IF(F363&lt;&gt;TEXT(G363,"0000000000"),"CHECK - HS MISMATCH","-")))</f>
        <v/>
      </c>
    </row>
    <row r="364" ht="15" customHeight="1">
      <c r="A364">
        <f>IF(INPUT!A364="","",INPUT!A364)</f>
        <v/>
      </c>
      <c r="B364">
        <f>IF(INPUT!B364="","",INPUT!B364)</f>
        <v/>
      </c>
      <c r="C364">
        <f>IF(INPUT!D364="","",INPUT!D364)</f>
        <v/>
      </c>
      <c r="D364">
        <f>IF(INPUT!C364="","",INPUT!C364)</f>
        <v/>
      </c>
      <c r="E364">
        <f>IF(INPUT!E364="","",INPUT!E364)</f>
        <v/>
      </c>
      <c r="F364">
        <f>IF(E364="","",TEXT(E364,"0000000000"))</f>
        <v/>
      </c>
      <c r="G364">
        <f>IF(B364="","",IFERROR(INDEX(DB!$B:$B,MATCH(B364,DB!$A:$A,0)),"-"))</f>
        <v/>
      </c>
      <c r="H364">
        <f>IF(B364="","",IF(G364="-","NEW ITEM",IF(F364=TEXT(G364,"0000000000"),"MATCH","MISMATCH")))</f>
        <v/>
      </c>
      <c r="I364">
        <f>IF(B364="","",IF(G364="-","-",IF(F364&lt;&gt;TEXT(G364,"0000000000"),"CHECK - HS MISMATCH","-")))</f>
        <v/>
      </c>
    </row>
    <row r="365" ht="15" customHeight="1">
      <c r="A365">
        <f>IF(INPUT!A365="","",INPUT!A365)</f>
        <v/>
      </c>
      <c r="B365">
        <f>IF(INPUT!B365="","",INPUT!B365)</f>
        <v/>
      </c>
      <c r="C365">
        <f>IF(INPUT!D365="","",INPUT!D365)</f>
        <v/>
      </c>
      <c r="D365">
        <f>IF(INPUT!C365="","",INPUT!C365)</f>
        <v/>
      </c>
      <c r="E365">
        <f>IF(INPUT!E365="","",INPUT!E365)</f>
        <v/>
      </c>
      <c r="F365">
        <f>IF(E365="","",TEXT(E365,"0000000000"))</f>
        <v/>
      </c>
      <c r="G365">
        <f>IF(B365="","",IFERROR(INDEX(DB!$B:$B,MATCH(B365,DB!$A:$A,0)),"-"))</f>
        <v/>
      </c>
      <c r="H365">
        <f>IF(B365="","",IF(G365="-","NEW ITEM",IF(F365=TEXT(G365,"0000000000"),"MATCH","MISMATCH")))</f>
        <v/>
      </c>
      <c r="I365">
        <f>IF(B365="","",IF(G365="-","-",IF(F365&lt;&gt;TEXT(G365,"0000000000"),"CHECK - HS MISMATCH","-")))</f>
        <v/>
      </c>
    </row>
    <row r="366" ht="15" customHeight="1">
      <c r="A366">
        <f>IF(INPUT!A366="","",INPUT!A366)</f>
        <v/>
      </c>
      <c r="B366">
        <f>IF(INPUT!B366="","",INPUT!B366)</f>
        <v/>
      </c>
      <c r="C366">
        <f>IF(INPUT!D366="","",INPUT!D366)</f>
        <v/>
      </c>
      <c r="D366">
        <f>IF(INPUT!C366="","",INPUT!C366)</f>
        <v/>
      </c>
      <c r="E366">
        <f>IF(INPUT!E366="","",INPUT!E366)</f>
        <v/>
      </c>
      <c r="F366">
        <f>IF(E366="","",TEXT(E366,"0000000000"))</f>
        <v/>
      </c>
      <c r="G366">
        <f>IF(B366="","",IFERROR(INDEX(DB!$B:$B,MATCH(B366,DB!$A:$A,0)),"-"))</f>
        <v/>
      </c>
      <c r="H366">
        <f>IF(B366="","",IF(G366="-","NEW ITEM",IF(F366=TEXT(G366,"0000000000"),"MATCH","MISMATCH")))</f>
        <v/>
      </c>
      <c r="I366">
        <f>IF(B366="","",IF(G366="-","-",IF(F366&lt;&gt;TEXT(G366,"0000000000"),"CHECK - HS MISMATCH","-")))</f>
        <v/>
      </c>
    </row>
    <row r="367" ht="15" customHeight="1">
      <c r="A367">
        <f>IF(INPUT!A367="","",INPUT!A367)</f>
        <v/>
      </c>
      <c r="B367">
        <f>IF(INPUT!B367="","",INPUT!B367)</f>
        <v/>
      </c>
      <c r="C367">
        <f>IF(INPUT!D367="","",INPUT!D367)</f>
        <v/>
      </c>
      <c r="D367">
        <f>IF(INPUT!C367="","",INPUT!C367)</f>
        <v/>
      </c>
      <c r="E367">
        <f>IF(INPUT!E367="","",INPUT!E367)</f>
        <v/>
      </c>
      <c r="F367">
        <f>IF(E367="","",TEXT(E367,"0000000000"))</f>
        <v/>
      </c>
      <c r="G367">
        <f>IF(B367="","",IFERROR(INDEX(DB!$B:$B,MATCH(B367,DB!$A:$A,0)),"-"))</f>
        <v/>
      </c>
      <c r="H367">
        <f>IF(B367="","",IF(G367="-","NEW ITEM",IF(F367=TEXT(G367,"0000000000"),"MATCH","MISMATCH")))</f>
        <v/>
      </c>
      <c r="I367">
        <f>IF(B367="","",IF(G367="-","-",IF(F367&lt;&gt;TEXT(G367,"0000000000"),"CHECK - HS MISMATCH","-")))</f>
        <v/>
      </c>
    </row>
    <row r="368" ht="15" customHeight="1">
      <c r="A368">
        <f>IF(INPUT!A368="","",INPUT!A368)</f>
        <v/>
      </c>
      <c r="B368">
        <f>IF(INPUT!B368="","",INPUT!B368)</f>
        <v/>
      </c>
      <c r="C368">
        <f>IF(INPUT!D368="","",INPUT!D368)</f>
        <v/>
      </c>
      <c r="D368">
        <f>IF(INPUT!C368="","",INPUT!C368)</f>
        <v/>
      </c>
      <c r="E368">
        <f>IF(INPUT!E368="","",INPUT!E368)</f>
        <v/>
      </c>
      <c r="F368">
        <f>IF(E368="","",TEXT(E368,"0000000000"))</f>
        <v/>
      </c>
      <c r="G368">
        <f>IF(B368="","",IFERROR(INDEX(DB!$B:$B,MATCH(B368,DB!$A:$A,0)),"-"))</f>
        <v/>
      </c>
      <c r="H368">
        <f>IF(B368="","",IF(G368="-","NEW ITEM",IF(F368=TEXT(G368,"0000000000"),"MATCH","MISMATCH")))</f>
        <v/>
      </c>
      <c r="I368">
        <f>IF(B368="","",IF(G368="-","-",IF(F368&lt;&gt;TEXT(G368,"0000000000"),"CHECK - HS MISMATCH","-")))</f>
        <v/>
      </c>
    </row>
    <row r="369" ht="15" customHeight="1">
      <c r="A369">
        <f>IF(INPUT!A369="","",INPUT!A369)</f>
        <v/>
      </c>
      <c r="B369">
        <f>IF(INPUT!B369="","",INPUT!B369)</f>
        <v/>
      </c>
      <c r="C369">
        <f>IF(INPUT!D369="","",INPUT!D369)</f>
        <v/>
      </c>
      <c r="D369">
        <f>IF(INPUT!C369="","",INPUT!C369)</f>
        <v/>
      </c>
      <c r="E369">
        <f>IF(INPUT!E369="","",INPUT!E369)</f>
        <v/>
      </c>
      <c r="F369">
        <f>IF(E369="","",TEXT(E369,"0000000000"))</f>
        <v/>
      </c>
      <c r="G369">
        <f>IF(B369="","",IFERROR(INDEX(DB!$B:$B,MATCH(B369,DB!$A:$A,0)),"-"))</f>
        <v/>
      </c>
      <c r="H369">
        <f>IF(B369="","",IF(G369="-","NEW ITEM",IF(F369=TEXT(G369,"0000000000"),"MATCH","MISMATCH")))</f>
        <v/>
      </c>
      <c r="I369">
        <f>IF(B369="","",IF(G369="-","-",IF(F369&lt;&gt;TEXT(G369,"0000000000"),"CHECK - HS MISMATCH","-")))</f>
        <v/>
      </c>
    </row>
    <row r="370" ht="15" customHeight="1">
      <c r="A370">
        <f>IF(INPUT!A370="","",INPUT!A370)</f>
        <v/>
      </c>
      <c r="B370">
        <f>IF(INPUT!B370="","",INPUT!B370)</f>
        <v/>
      </c>
      <c r="C370">
        <f>IF(INPUT!D370="","",INPUT!D370)</f>
        <v/>
      </c>
      <c r="D370">
        <f>IF(INPUT!C370="","",INPUT!C370)</f>
        <v/>
      </c>
      <c r="E370">
        <f>IF(INPUT!E370="","",INPUT!E370)</f>
        <v/>
      </c>
      <c r="F370">
        <f>IF(E370="","",TEXT(E370,"0000000000"))</f>
        <v/>
      </c>
      <c r="G370">
        <f>IF(B370="","",IFERROR(INDEX(DB!$B:$B,MATCH(B370,DB!$A:$A,0)),"-"))</f>
        <v/>
      </c>
      <c r="H370">
        <f>IF(B370="","",IF(G370="-","NEW ITEM",IF(F370=TEXT(G370,"0000000000"),"MATCH","MISMATCH")))</f>
        <v/>
      </c>
      <c r="I370">
        <f>IF(B370="","",IF(G370="-","-",IF(F370&lt;&gt;TEXT(G370,"0000000000"),"CHECK - HS MISMATCH","-")))</f>
        <v/>
      </c>
    </row>
    <row r="371" ht="15" customHeight="1">
      <c r="A371">
        <f>IF(INPUT!A371="","",INPUT!A371)</f>
        <v/>
      </c>
      <c r="B371">
        <f>IF(INPUT!B371="","",INPUT!B371)</f>
        <v/>
      </c>
      <c r="C371">
        <f>IF(INPUT!D371="","",INPUT!D371)</f>
        <v/>
      </c>
      <c r="D371">
        <f>IF(INPUT!C371="","",INPUT!C371)</f>
        <v/>
      </c>
      <c r="E371">
        <f>IF(INPUT!E371="","",INPUT!E371)</f>
        <v/>
      </c>
      <c r="F371">
        <f>IF(E371="","",TEXT(E371,"0000000000"))</f>
        <v/>
      </c>
      <c r="G371">
        <f>IF(B371="","",IFERROR(INDEX(DB!$B:$B,MATCH(B371,DB!$A:$A,0)),"-"))</f>
        <v/>
      </c>
      <c r="H371">
        <f>IF(B371="","",IF(G371="-","NEW ITEM",IF(F371=TEXT(G371,"0000000000"),"MATCH","MISMATCH")))</f>
        <v/>
      </c>
      <c r="I371">
        <f>IF(B371="","",IF(G371="-","-",IF(F371&lt;&gt;TEXT(G371,"0000000000"),"CHECK - HS MISMATCH","-")))</f>
        <v/>
      </c>
    </row>
    <row r="372" ht="15" customHeight="1">
      <c r="A372">
        <f>IF(INPUT!A372="","",INPUT!A372)</f>
        <v/>
      </c>
      <c r="B372">
        <f>IF(INPUT!B372="","",INPUT!B372)</f>
        <v/>
      </c>
      <c r="C372">
        <f>IF(INPUT!D372="","",INPUT!D372)</f>
        <v/>
      </c>
      <c r="D372">
        <f>IF(INPUT!C372="","",INPUT!C372)</f>
        <v/>
      </c>
      <c r="E372">
        <f>IF(INPUT!E372="","",INPUT!E372)</f>
        <v/>
      </c>
      <c r="F372">
        <f>IF(E372="","",TEXT(E372,"0000000000"))</f>
        <v/>
      </c>
      <c r="G372">
        <f>IF(B372="","",IFERROR(INDEX(DB!$B:$B,MATCH(B372,DB!$A:$A,0)),"-"))</f>
        <v/>
      </c>
      <c r="H372">
        <f>IF(B372="","",IF(G372="-","NEW ITEM",IF(F372=TEXT(G372,"0000000000"),"MATCH","MISMATCH")))</f>
        <v/>
      </c>
      <c r="I372">
        <f>IF(B372="","",IF(G372="-","-",IF(F372&lt;&gt;TEXT(G372,"0000000000"),"CHECK - HS MISMATCH","-")))</f>
        <v/>
      </c>
    </row>
    <row r="373" ht="15" customHeight="1">
      <c r="A373">
        <f>IF(INPUT!A373="","",INPUT!A373)</f>
        <v/>
      </c>
      <c r="B373">
        <f>IF(INPUT!B373="","",INPUT!B373)</f>
        <v/>
      </c>
      <c r="C373">
        <f>IF(INPUT!D373="","",INPUT!D373)</f>
        <v/>
      </c>
      <c r="D373">
        <f>IF(INPUT!C373="","",INPUT!C373)</f>
        <v/>
      </c>
      <c r="E373">
        <f>IF(INPUT!E373="","",INPUT!E373)</f>
        <v/>
      </c>
      <c r="F373">
        <f>IF(E373="","",TEXT(E373,"0000000000"))</f>
        <v/>
      </c>
      <c r="G373">
        <f>IF(B373="","",IFERROR(INDEX(DB!$B:$B,MATCH(B373,DB!$A:$A,0)),"-"))</f>
        <v/>
      </c>
      <c r="H373">
        <f>IF(B373="","",IF(G373="-","NEW ITEM",IF(F373=TEXT(G373,"0000000000"),"MATCH","MISMATCH")))</f>
        <v/>
      </c>
      <c r="I373">
        <f>IF(B373="","",IF(G373="-","-",IF(F373&lt;&gt;TEXT(G373,"0000000000"),"CHECK - HS MISMATCH","-")))</f>
        <v/>
      </c>
    </row>
    <row r="374" ht="15" customHeight="1">
      <c r="A374">
        <f>IF(INPUT!A374="","",INPUT!A374)</f>
        <v/>
      </c>
      <c r="B374">
        <f>IF(INPUT!B374="","",INPUT!B374)</f>
        <v/>
      </c>
      <c r="C374">
        <f>IF(INPUT!D374="","",INPUT!D374)</f>
        <v/>
      </c>
      <c r="D374">
        <f>IF(INPUT!C374="","",INPUT!C374)</f>
        <v/>
      </c>
      <c r="E374">
        <f>IF(INPUT!E374="","",INPUT!E374)</f>
        <v/>
      </c>
      <c r="F374">
        <f>IF(E374="","",TEXT(E374,"0000000000"))</f>
        <v/>
      </c>
      <c r="G374">
        <f>IF(B374="","",IFERROR(INDEX(DB!$B:$B,MATCH(B374,DB!$A:$A,0)),"-"))</f>
        <v/>
      </c>
      <c r="H374">
        <f>IF(B374="","",IF(G374="-","NEW ITEM",IF(F374=TEXT(G374,"0000000000"),"MATCH","MISMATCH")))</f>
        <v/>
      </c>
      <c r="I374">
        <f>IF(B374="","",IF(G374="-","-",IF(F374&lt;&gt;TEXT(G374,"0000000000"),"CHECK - HS MISMATCH","-")))</f>
        <v/>
      </c>
    </row>
    <row r="375" ht="15" customHeight="1">
      <c r="A375">
        <f>IF(INPUT!A375="","",INPUT!A375)</f>
        <v/>
      </c>
      <c r="B375">
        <f>IF(INPUT!B375="","",INPUT!B375)</f>
        <v/>
      </c>
      <c r="C375">
        <f>IF(INPUT!D375="","",INPUT!D375)</f>
        <v/>
      </c>
      <c r="D375">
        <f>IF(INPUT!C375="","",INPUT!C375)</f>
        <v/>
      </c>
      <c r="E375">
        <f>IF(INPUT!E375="","",INPUT!E375)</f>
        <v/>
      </c>
      <c r="F375">
        <f>IF(E375="","",TEXT(E375,"0000000000"))</f>
        <v/>
      </c>
      <c r="G375">
        <f>IF(B375="","",IFERROR(INDEX(DB!$B:$B,MATCH(B375,DB!$A:$A,0)),"-"))</f>
        <v/>
      </c>
      <c r="H375">
        <f>IF(B375="","",IF(G375="-","NEW ITEM",IF(F375=TEXT(G375,"0000000000"),"MATCH","MISMATCH")))</f>
        <v/>
      </c>
      <c r="I375">
        <f>IF(B375="","",IF(G375="-","-",IF(F375&lt;&gt;TEXT(G375,"0000000000"),"CHECK - HS MISMATCH","-")))</f>
        <v/>
      </c>
    </row>
    <row r="376" ht="15" customHeight="1">
      <c r="A376">
        <f>IF(INPUT!A376="","",INPUT!A376)</f>
        <v/>
      </c>
      <c r="B376">
        <f>IF(INPUT!B376="","",INPUT!B376)</f>
        <v/>
      </c>
      <c r="C376">
        <f>IF(INPUT!D376="","",INPUT!D376)</f>
        <v/>
      </c>
      <c r="D376">
        <f>IF(INPUT!C376="","",INPUT!C376)</f>
        <v/>
      </c>
      <c r="E376">
        <f>IF(INPUT!E376="","",INPUT!E376)</f>
        <v/>
      </c>
      <c r="F376">
        <f>IF(E376="","",TEXT(E376,"0000000000"))</f>
        <v/>
      </c>
      <c r="G376">
        <f>IF(B376="","",IFERROR(INDEX(DB!$B:$B,MATCH(B376,DB!$A:$A,0)),"-"))</f>
        <v/>
      </c>
      <c r="H376">
        <f>IF(B376="","",IF(G376="-","NEW ITEM",IF(F376=TEXT(G376,"0000000000"),"MATCH","MISMATCH")))</f>
        <v/>
      </c>
      <c r="I376">
        <f>IF(B376="","",IF(G376="-","-",IF(F376&lt;&gt;TEXT(G376,"0000000000"),"CHECK - HS MISMATCH","-")))</f>
        <v/>
      </c>
    </row>
    <row r="377" ht="15" customHeight="1">
      <c r="A377">
        <f>IF(INPUT!A377="","",INPUT!A377)</f>
        <v/>
      </c>
      <c r="B377">
        <f>IF(INPUT!B377="","",INPUT!B377)</f>
        <v/>
      </c>
      <c r="C377">
        <f>IF(INPUT!D377="","",INPUT!D377)</f>
        <v/>
      </c>
      <c r="D377">
        <f>IF(INPUT!C377="","",INPUT!C377)</f>
        <v/>
      </c>
      <c r="E377">
        <f>IF(INPUT!E377="","",INPUT!E377)</f>
        <v/>
      </c>
      <c r="F377">
        <f>IF(E377="","",TEXT(E377,"0000000000"))</f>
        <v/>
      </c>
      <c r="G377">
        <f>IF(B377="","",IFERROR(INDEX(DB!$B:$B,MATCH(B377,DB!$A:$A,0)),"-"))</f>
        <v/>
      </c>
      <c r="H377">
        <f>IF(B377="","",IF(G377="-","NEW ITEM",IF(F377=TEXT(G377,"0000000000"),"MATCH","MISMATCH")))</f>
        <v/>
      </c>
      <c r="I377">
        <f>IF(B377="","",IF(G377="-","-",IF(F377&lt;&gt;TEXT(G377,"0000000000"),"CHECK - HS MISMATCH","-")))</f>
        <v/>
      </c>
    </row>
    <row r="378" ht="15" customHeight="1">
      <c r="A378">
        <f>IF(INPUT!A378="","",INPUT!A378)</f>
        <v/>
      </c>
      <c r="B378">
        <f>IF(INPUT!B378="","",INPUT!B378)</f>
        <v/>
      </c>
      <c r="C378">
        <f>IF(INPUT!D378="","",INPUT!D378)</f>
        <v/>
      </c>
      <c r="D378">
        <f>IF(INPUT!C378="","",INPUT!C378)</f>
        <v/>
      </c>
      <c r="E378">
        <f>IF(INPUT!E378="","",INPUT!E378)</f>
        <v/>
      </c>
      <c r="F378">
        <f>IF(E378="","",TEXT(E378,"0000000000"))</f>
        <v/>
      </c>
      <c r="G378">
        <f>IF(B378="","",IFERROR(INDEX(DB!$B:$B,MATCH(B378,DB!$A:$A,0)),"-"))</f>
        <v/>
      </c>
      <c r="H378">
        <f>IF(B378="","",IF(G378="-","NEW ITEM",IF(F378=TEXT(G378,"0000000000"),"MATCH","MISMATCH")))</f>
        <v/>
      </c>
      <c r="I378">
        <f>IF(B378="","",IF(G378="-","-",IF(F378&lt;&gt;TEXT(G378,"0000000000"),"CHECK - HS MISMATCH","-")))</f>
        <v/>
      </c>
    </row>
    <row r="379" ht="15" customHeight="1">
      <c r="A379">
        <f>IF(INPUT!A379="","",INPUT!A379)</f>
        <v/>
      </c>
      <c r="B379">
        <f>IF(INPUT!B379="","",INPUT!B379)</f>
        <v/>
      </c>
      <c r="C379">
        <f>IF(INPUT!D379="","",INPUT!D379)</f>
        <v/>
      </c>
      <c r="D379">
        <f>IF(INPUT!C379="","",INPUT!C379)</f>
        <v/>
      </c>
      <c r="E379">
        <f>IF(INPUT!E379="","",INPUT!E379)</f>
        <v/>
      </c>
      <c r="F379">
        <f>IF(E379="","",TEXT(E379,"0000000000"))</f>
        <v/>
      </c>
      <c r="G379">
        <f>IF(B379="","",IFERROR(INDEX(DB!$B:$B,MATCH(B379,DB!$A:$A,0)),"-"))</f>
        <v/>
      </c>
      <c r="H379">
        <f>IF(B379="","",IF(G379="-","NEW ITEM",IF(F379=TEXT(G379,"0000000000"),"MATCH","MISMATCH")))</f>
        <v/>
      </c>
      <c r="I379">
        <f>IF(B379="","",IF(G379="-","-",IF(F379&lt;&gt;TEXT(G379,"0000000000"),"CHECK - HS MISMATCH","-")))</f>
        <v/>
      </c>
    </row>
    <row r="380" ht="15" customHeight="1">
      <c r="A380">
        <f>IF(INPUT!A380="","",INPUT!A380)</f>
        <v/>
      </c>
      <c r="B380">
        <f>IF(INPUT!B380="","",INPUT!B380)</f>
        <v/>
      </c>
      <c r="C380">
        <f>IF(INPUT!D380="","",INPUT!D380)</f>
        <v/>
      </c>
      <c r="D380">
        <f>IF(INPUT!C380="","",INPUT!C380)</f>
        <v/>
      </c>
      <c r="E380">
        <f>IF(INPUT!E380="","",INPUT!E380)</f>
        <v/>
      </c>
      <c r="F380">
        <f>IF(E380="","",TEXT(E380,"0000000000"))</f>
        <v/>
      </c>
      <c r="G380">
        <f>IF(B380="","",IFERROR(INDEX(DB!$B:$B,MATCH(B380,DB!$A:$A,0)),"-"))</f>
        <v/>
      </c>
      <c r="H380">
        <f>IF(B380="","",IF(G380="-","NEW ITEM",IF(F380=TEXT(G380,"0000000000"),"MATCH","MISMATCH")))</f>
        <v/>
      </c>
      <c r="I380">
        <f>IF(B380="","",IF(G380="-","-",IF(F380&lt;&gt;TEXT(G380,"0000000000"),"CHECK - HS MISMATCH","-")))</f>
        <v/>
      </c>
    </row>
    <row r="381" ht="15" customHeight="1">
      <c r="A381">
        <f>IF(INPUT!A381="","",INPUT!A381)</f>
        <v/>
      </c>
      <c r="B381">
        <f>IF(INPUT!B381="","",INPUT!B381)</f>
        <v/>
      </c>
      <c r="C381">
        <f>IF(INPUT!D381="","",INPUT!D381)</f>
        <v/>
      </c>
      <c r="D381">
        <f>IF(INPUT!C381="","",INPUT!C381)</f>
        <v/>
      </c>
      <c r="E381">
        <f>IF(INPUT!E381="","",INPUT!E381)</f>
        <v/>
      </c>
      <c r="F381">
        <f>IF(E381="","",TEXT(E381,"0000000000"))</f>
        <v/>
      </c>
      <c r="G381">
        <f>IF(B381="","",IFERROR(INDEX(DB!$B:$B,MATCH(B381,DB!$A:$A,0)),"-"))</f>
        <v/>
      </c>
      <c r="H381">
        <f>IF(B381="","",IF(G381="-","NEW ITEM",IF(F381=TEXT(G381,"0000000000"),"MATCH","MISMATCH")))</f>
        <v/>
      </c>
      <c r="I381">
        <f>IF(B381="","",IF(G381="-","-",IF(F381&lt;&gt;TEXT(G381,"0000000000"),"CHECK - HS MISMATCH","-")))</f>
        <v/>
      </c>
    </row>
    <row r="382" ht="15" customHeight="1">
      <c r="A382">
        <f>IF(INPUT!A382="","",INPUT!A382)</f>
        <v/>
      </c>
      <c r="B382">
        <f>IF(INPUT!B382="","",INPUT!B382)</f>
        <v/>
      </c>
      <c r="C382">
        <f>IF(INPUT!D382="","",INPUT!D382)</f>
        <v/>
      </c>
      <c r="D382">
        <f>IF(INPUT!C382="","",INPUT!C382)</f>
        <v/>
      </c>
      <c r="E382">
        <f>IF(INPUT!E382="","",INPUT!E382)</f>
        <v/>
      </c>
      <c r="F382">
        <f>IF(E382="","",TEXT(E382,"0000000000"))</f>
        <v/>
      </c>
      <c r="G382">
        <f>IF(B382="","",IFERROR(INDEX(DB!$B:$B,MATCH(B382,DB!$A:$A,0)),"-"))</f>
        <v/>
      </c>
      <c r="H382">
        <f>IF(B382="","",IF(G382="-","NEW ITEM",IF(F382=TEXT(G382,"0000000000"),"MATCH","MISMATCH")))</f>
        <v/>
      </c>
      <c r="I382">
        <f>IF(B382="","",IF(G382="-","-",IF(F382&lt;&gt;TEXT(G382,"0000000000"),"CHECK - HS MISMATCH","-")))</f>
        <v/>
      </c>
    </row>
    <row r="383" ht="15" customHeight="1">
      <c r="A383">
        <f>IF(INPUT!A383="","",INPUT!A383)</f>
        <v/>
      </c>
      <c r="B383">
        <f>IF(INPUT!B383="","",INPUT!B383)</f>
        <v/>
      </c>
      <c r="C383">
        <f>IF(INPUT!D383="","",INPUT!D383)</f>
        <v/>
      </c>
      <c r="D383">
        <f>IF(INPUT!C383="","",INPUT!C383)</f>
        <v/>
      </c>
      <c r="E383">
        <f>IF(INPUT!E383="","",INPUT!E383)</f>
        <v/>
      </c>
      <c r="F383">
        <f>IF(E383="","",TEXT(E383,"0000000000"))</f>
        <v/>
      </c>
      <c r="G383">
        <f>IF(B383="","",IFERROR(INDEX(DB!$B:$B,MATCH(B383,DB!$A:$A,0)),"-"))</f>
        <v/>
      </c>
      <c r="H383">
        <f>IF(B383="","",IF(G383="-","NEW ITEM",IF(F383=TEXT(G383,"0000000000"),"MATCH","MISMATCH")))</f>
        <v/>
      </c>
      <c r="I383">
        <f>IF(B383="","",IF(G383="-","-",IF(F383&lt;&gt;TEXT(G383,"0000000000"),"CHECK - HS MISMATCH","-")))</f>
        <v/>
      </c>
    </row>
    <row r="384" ht="15" customHeight="1">
      <c r="A384">
        <f>IF(INPUT!A384="","",INPUT!A384)</f>
        <v/>
      </c>
      <c r="B384">
        <f>IF(INPUT!B384="","",INPUT!B384)</f>
        <v/>
      </c>
      <c r="C384">
        <f>IF(INPUT!D384="","",INPUT!D384)</f>
        <v/>
      </c>
      <c r="D384">
        <f>IF(INPUT!C384="","",INPUT!C384)</f>
        <v/>
      </c>
      <c r="E384">
        <f>IF(INPUT!E384="","",INPUT!E384)</f>
        <v/>
      </c>
      <c r="F384">
        <f>IF(E384="","",TEXT(E384,"0000000000"))</f>
        <v/>
      </c>
      <c r="G384">
        <f>IF(B384="","",IFERROR(INDEX(DB!$B:$B,MATCH(B384,DB!$A:$A,0)),"-"))</f>
        <v/>
      </c>
      <c r="H384">
        <f>IF(B384="","",IF(G384="-","NEW ITEM",IF(F384=TEXT(G384,"0000000000"),"MATCH","MISMATCH")))</f>
        <v/>
      </c>
      <c r="I384">
        <f>IF(B384="","",IF(G384="-","-",IF(F384&lt;&gt;TEXT(G384,"0000000000"),"CHECK - HS MISMATCH","-")))</f>
        <v/>
      </c>
    </row>
    <row r="385" ht="15" customHeight="1">
      <c r="A385">
        <f>IF(INPUT!A385="","",INPUT!A385)</f>
        <v/>
      </c>
      <c r="B385">
        <f>IF(INPUT!B385="","",INPUT!B385)</f>
        <v/>
      </c>
      <c r="C385">
        <f>IF(INPUT!D385="","",INPUT!D385)</f>
        <v/>
      </c>
      <c r="D385">
        <f>IF(INPUT!C385="","",INPUT!C385)</f>
        <v/>
      </c>
      <c r="E385">
        <f>IF(INPUT!E385="","",INPUT!E385)</f>
        <v/>
      </c>
      <c r="F385">
        <f>IF(E385="","",TEXT(E385,"0000000000"))</f>
        <v/>
      </c>
      <c r="G385">
        <f>IF(B385="","",IFERROR(INDEX(DB!$B:$B,MATCH(B385,DB!$A:$A,0)),"-"))</f>
        <v/>
      </c>
      <c r="H385">
        <f>IF(B385="","",IF(G385="-","NEW ITEM",IF(F385=TEXT(G385,"0000000000"),"MATCH","MISMATCH")))</f>
        <v/>
      </c>
      <c r="I385">
        <f>IF(B385="","",IF(G385="-","-",IF(F385&lt;&gt;TEXT(G385,"0000000000"),"CHECK - HS MISMATCH","-")))</f>
        <v/>
      </c>
    </row>
    <row r="386" ht="15" customHeight="1">
      <c r="A386">
        <f>IF(INPUT!A386="","",INPUT!A386)</f>
        <v/>
      </c>
      <c r="B386">
        <f>IF(INPUT!B386="","",INPUT!B386)</f>
        <v/>
      </c>
      <c r="C386">
        <f>IF(INPUT!D386="","",INPUT!D386)</f>
        <v/>
      </c>
      <c r="D386">
        <f>IF(INPUT!C386="","",INPUT!C386)</f>
        <v/>
      </c>
      <c r="E386">
        <f>IF(INPUT!E386="","",INPUT!E386)</f>
        <v/>
      </c>
      <c r="F386">
        <f>IF(E386="","",TEXT(E386,"0000000000"))</f>
        <v/>
      </c>
      <c r="G386">
        <f>IF(B386="","",IFERROR(INDEX(DB!$B:$B,MATCH(B386,DB!$A:$A,0)),"-"))</f>
        <v/>
      </c>
      <c r="H386">
        <f>IF(B386="","",IF(G386="-","NEW ITEM",IF(F386=TEXT(G386,"0000000000"),"MATCH","MISMATCH")))</f>
        <v/>
      </c>
      <c r="I386">
        <f>IF(B386="","",IF(G386="-","-",IF(F386&lt;&gt;TEXT(G386,"0000000000"),"CHECK - HS MISMATCH","-")))</f>
        <v/>
      </c>
    </row>
    <row r="387" ht="15" customHeight="1">
      <c r="A387">
        <f>IF(INPUT!A387="","",INPUT!A387)</f>
        <v/>
      </c>
      <c r="B387">
        <f>IF(INPUT!B387="","",INPUT!B387)</f>
        <v/>
      </c>
      <c r="C387">
        <f>IF(INPUT!D387="","",INPUT!D387)</f>
        <v/>
      </c>
      <c r="D387">
        <f>IF(INPUT!C387="","",INPUT!C387)</f>
        <v/>
      </c>
      <c r="E387">
        <f>IF(INPUT!E387="","",INPUT!E387)</f>
        <v/>
      </c>
      <c r="F387">
        <f>IF(E387="","",TEXT(E387,"0000000000"))</f>
        <v/>
      </c>
      <c r="G387">
        <f>IF(B387="","",IFERROR(INDEX(DB!$B:$B,MATCH(B387,DB!$A:$A,0)),"-"))</f>
        <v/>
      </c>
      <c r="H387">
        <f>IF(B387="","",IF(G387="-","NEW ITEM",IF(F387=TEXT(G387,"0000000000"),"MATCH","MISMATCH")))</f>
        <v/>
      </c>
      <c r="I387">
        <f>IF(B387="","",IF(G387="-","-",IF(F387&lt;&gt;TEXT(G387,"0000000000"),"CHECK - HS MISMATCH","-")))</f>
        <v/>
      </c>
    </row>
    <row r="388" ht="15" customHeight="1">
      <c r="A388">
        <f>IF(INPUT!A388="","",INPUT!A388)</f>
        <v/>
      </c>
      <c r="B388">
        <f>IF(INPUT!B388="","",INPUT!B388)</f>
        <v/>
      </c>
      <c r="C388">
        <f>IF(INPUT!D388="","",INPUT!D388)</f>
        <v/>
      </c>
      <c r="D388">
        <f>IF(INPUT!C388="","",INPUT!C388)</f>
        <v/>
      </c>
      <c r="E388">
        <f>IF(INPUT!E388="","",INPUT!E388)</f>
        <v/>
      </c>
      <c r="F388">
        <f>IF(E388="","",TEXT(E388,"0000000000"))</f>
        <v/>
      </c>
      <c r="G388">
        <f>IF(B388="","",IFERROR(INDEX(DB!$B:$B,MATCH(B388,DB!$A:$A,0)),"-"))</f>
        <v/>
      </c>
      <c r="H388">
        <f>IF(B388="","",IF(G388="-","NEW ITEM",IF(F388=TEXT(G388,"0000000000"),"MATCH","MISMATCH")))</f>
        <v/>
      </c>
      <c r="I388">
        <f>IF(B388="","",IF(G388="-","-",IF(F388&lt;&gt;TEXT(G388,"0000000000"),"CHECK - HS MISMATCH","-")))</f>
        <v/>
      </c>
    </row>
    <row r="389" ht="15" customHeight="1">
      <c r="A389">
        <f>IF(INPUT!A389="","",INPUT!A389)</f>
        <v/>
      </c>
      <c r="B389">
        <f>IF(INPUT!B389="","",INPUT!B389)</f>
        <v/>
      </c>
      <c r="C389">
        <f>IF(INPUT!D389="","",INPUT!D389)</f>
        <v/>
      </c>
      <c r="D389">
        <f>IF(INPUT!C389="","",INPUT!C389)</f>
        <v/>
      </c>
      <c r="E389">
        <f>IF(INPUT!E389="","",INPUT!E389)</f>
        <v/>
      </c>
      <c r="F389">
        <f>IF(E389="","",TEXT(E389,"0000000000"))</f>
        <v/>
      </c>
      <c r="G389">
        <f>IF(B389="","",IFERROR(INDEX(DB!$B:$B,MATCH(B389,DB!$A:$A,0)),"-"))</f>
        <v/>
      </c>
      <c r="H389">
        <f>IF(B389="","",IF(G389="-","NEW ITEM",IF(F389=TEXT(G389,"0000000000"),"MATCH","MISMATCH")))</f>
        <v/>
      </c>
      <c r="I389">
        <f>IF(B389="","",IF(G389="-","-",IF(F389&lt;&gt;TEXT(G389,"0000000000"),"CHECK - HS MISMATCH","-")))</f>
        <v/>
      </c>
    </row>
    <row r="390" ht="15" customHeight="1">
      <c r="A390">
        <f>IF(INPUT!A390="","",INPUT!A390)</f>
        <v/>
      </c>
      <c r="B390">
        <f>IF(INPUT!B390="","",INPUT!B390)</f>
        <v/>
      </c>
      <c r="C390">
        <f>IF(INPUT!D390="","",INPUT!D390)</f>
        <v/>
      </c>
      <c r="D390">
        <f>IF(INPUT!C390="","",INPUT!C390)</f>
        <v/>
      </c>
      <c r="E390">
        <f>IF(INPUT!E390="","",INPUT!E390)</f>
        <v/>
      </c>
      <c r="F390">
        <f>IF(E390="","",TEXT(E390,"0000000000"))</f>
        <v/>
      </c>
      <c r="G390">
        <f>IF(B390="","",IFERROR(INDEX(DB!$B:$B,MATCH(B390,DB!$A:$A,0)),"-"))</f>
        <v/>
      </c>
      <c r="H390">
        <f>IF(B390="","",IF(G390="-","NEW ITEM",IF(F390=TEXT(G390,"0000000000"),"MATCH","MISMATCH")))</f>
        <v/>
      </c>
      <c r="I390">
        <f>IF(B390="","",IF(G390="-","-",IF(F390&lt;&gt;TEXT(G390,"0000000000"),"CHECK - HS MISMATCH","-")))</f>
        <v/>
      </c>
    </row>
    <row r="391" ht="15" customHeight="1">
      <c r="A391">
        <f>IF(INPUT!A391="","",INPUT!A391)</f>
        <v/>
      </c>
      <c r="B391">
        <f>IF(INPUT!B391="","",INPUT!B391)</f>
        <v/>
      </c>
      <c r="C391">
        <f>IF(INPUT!D391="","",INPUT!D391)</f>
        <v/>
      </c>
      <c r="D391">
        <f>IF(INPUT!C391="","",INPUT!C391)</f>
        <v/>
      </c>
      <c r="E391">
        <f>IF(INPUT!E391="","",INPUT!E391)</f>
        <v/>
      </c>
      <c r="F391">
        <f>IF(E391="","",TEXT(E391,"0000000000"))</f>
        <v/>
      </c>
      <c r="G391">
        <f>IF(B391="","",IFERROR(INDEX(DB!$B:$B,MATCH(B391,DB!$A:$A,0)),"-"))</f>
        <v/>
      </c>
      <c r="H391">
        <f>IF(B391="","",IF(G391="-","NEW ITEM",IF(F391=TEXT(G391,"0000000000"),"MATCH","MISMATCH")))</f>
        <v/>
      </c>
      <c r="I391">
        <f>IF(B391="","",IF(G391="-","-",IF(F391&lt;&gt;TEXT(G391,"0000000000"),"CHECK - HS MISMATCH","-")))</f>
        <v/>
      </c>
    </row>
    <row r="392" ht="15" customHeight="1">
      <c r="A392">
        <f>IF(INPUT!A392="","",INPUT!A392)</f>
        <v/>
      </c>
      <c r="B392">
        <f>IF(INPUT!B392="","",INPUT!B392)</f>
        <v/>
      </c>
      <c r="C392">
        <f>IF(INPUT!D392="","",INPUT!D392)</f>
        <v/>
      </c>
      <c r="D392">
        <f>IF(INPUT!C392="","",INPUT!C392)</f>
        <v/>
      </c>
      <c r="E392">
        <f>IF(INPUT!E392="","",INPUT!E392)</f>
        <v/>
      </c>
      <c r="F392">
        <f>IF(E392="","",TEXT(E392,"0000000000"))</f>
        <v/>
      </c>
      <c r="G392">
        <f>IF(B392="","",IFERROR(INDEX(DB!$B:$B,MATCH(B392,DB!$A:$A,0)),"-"))</f>
        <v/>
      </c>
      <c r="H392">
        <f>IF(B392="","",IF(G392="-","NEW ITEM",IF(F392=TEXT(G392,"0000000000"),"MATCH","MISMATCH")))</f>
        <v/>
      </c>
      <c r="I392">
        <f>IF(B392="","",IF(G392="-","-",IF(F392&lt;&gt;TEXT(G392,"0000000000"),"CHECK - HS MISMATCH","-")))</f>
        <v/>
      </c>
    </row>
    <row r="393" ht="15" customHeight="1">
      <c r="A393">
        <f>IF(INPUT!A393="","",INPUT!A393)</f>
        <v/>
      </c>
      <c r="B393">
        <f>IF(INPUT!B393="","",INPUT!B393)</f>
        <v/>
      </c>
      <c r="C393">
        <f>IF(INPUT!D393="","",INPUT!D393)</f>
        <v/>
      </c>
      <c r="D393">
        <f>IF(INPUT!C393="","",INPUT!C393)</f>
        <v/>
      </c>
      <c r="E393">
        <f>IF(INPUT!E393="","",INPUT!E393)</f>
        <v/>
      </c>
      <c r="F393">
        <f>IF(E393="","",TEXT(E393,"0000000000"))</f>
        <v/>
      </c>
      <c r="G393">
        <f>IF(B393="","",IFERROR(INDEX(DB!$B:$B,MATCH(B393,DB!$A:$A,0)),"-"))</f>
        <v/>
      </c>
      <c r="H393">
        <f>IF(B393="","",IF(G393="-","NEW ITEM",IF(F393=TEXT(G393,"0000000000"),"MATCH","MISMATCH")))</f>
        <v/>
      </c>
      <c r="I393">
        <f>IF(B393="","",IF(G393="-","-",IF(F393&lt;&gt;TEXT(G393,"0000000000"),"CHECK - HS MISMATCH","-")))</f>
        <v/>
      </c>
    </row>
    <row r="394" ht="15" customHeight="1">
      <c r="A394">
        <f>IF(INPUT!A394="","",INPUT!A394)</f>
        <v/>
      </c>
      <c r="B394">
        <f>IF(INPUT!B394="","",INPUT!B394)</f>
        <v/>
      </c>
      <c r="C394">
        <f>IF(INPUT!D394="","",INPUT!D394)</f>
        <v/>
      </c>
      <c r="D394">
        <f>IF(INPUT!C394="","",INPUT!C394)</f>
        <v/>
      </c>
      <c r="E394">
        <f>IF(INPUT!E394="","",INPUT!E394)</f>
        <v/>
      </c>
      <c r="F394">
        <f>IF(E394="","",TEXT(E394,"0000000000"))</f>
        <v/>
      </c>
      <c r="G394">
        <f>IF(B394="","",IFERROR(INDEX(DB!$B:$B,MATCH(B394,DB!$A:$A,0)),"-"))</f>
        <v/>
      </c>
      <c r="H394">
        <f>IF(B394="","",IF(G394="-","NEW ITEM",IF(F394=TEXT(G394,"0000000000"),"MATCH","MISMATCH")))</f>
        <v/>
      </c>
      <c r="I394">
        <f>IF(B394="","",IF(G394="-","-",IF(F394&lt;&gt;TEXT(G394,"0000000000"),"CHECK - HS MISMATCH","-")))</f>
        <v/>
      </c>
    </row>
    <row r="395" ht="15" customHeight="1">
      <c r="A395">
        <f>IF(INPUT!A395="","",INPUT!A395)</f>
        <v/>
      </c>
      <c r="B395">
        <f>IF(INPUT!B395="","",INPUT!B395)</f>
        <v/>
      </c>
      <c r="C395">
        <f>IF(INPUT!D395="","",INPUT!D395)</f>
        <v/>
      </c>
      <c r="D395">
        <f>IF(INPUT!C395="","",INPUT!C395)</f>
        <v/>
      </c>
      <c r="E395">
        <f>IF(INPUT!E395="","",INPUT!E395)</f>
        <v/>
      </c>
      <c r="F395">
        <f>IF(E395="","",TEXT(E395,"0000000000"))</f>
        <v/>
      </c>
      <c r="G395">
        <f>IF(B395="","",IFERROR(INDEX(DB!$B:$B,MATCH(B395,DB!$A:$A,0)),"-"))</f>
        <v/>
      </c>
      <c r="H395">
        <f>IF(B395="","",IF(G395="-","NEW ITEM",IF(F395=TEXT(G395,"0000000000"),"MATCH","MISMATCH")))</f>
        <v/>
      </c>
      <c r="I395">
        <f>IF(B395="","",IF(G395="-","-",IF(F395&lt;&gt;TEXT(G395,"0000000000"),"CHECK - HS MISMATCH","-")))</f>
        <v/>
      </c>
    </row>
    <row r="396" ht="15" customHeight="1">
      <c r="A396">
        <f>IF(INPUT!A396="","",INPUT!A396)</f>
        <v/>
      </c>
      <c r="B396">
        <f>IF(INPUT!B396="","",INPUT!B396)</f>
        <v/>
      </c>
      <c r="C396">
        <f>IF(INPUT!D396="","",INPUT!D396)</f>
        <v/>
      </c>
      <c r="D396">
        <f>IF(INPUT!C396="","",INPUT!C396)</f>
        <v/>
      </c>
      <c r="E396">
        <f>IF(INPUT!E396="","",INPUT!E396)</f>
        <v/>
      </c>
      <c r="F396">
        <f>IF(E396="","",TEXT(E396,"0000000000"))</f>
        <v/>
      </c>
      <c r="G396">
        <f>IF(B396="","",IFERROR(INDEX(DB!$B:$B,MATCH(B396,DB!$A:$A,0)),"-"))</f>
        <v/>
      </c>
      <c r="H396">
        <f>IF(B396="","",IF(G396="-","NEW ITEM",IF(F396=TEXT(G396,"0000000000"),"MATCH","MISMATCH")))</f>
        <v/>
      </c>
      <c r="I396">
        <f>IF(B396="","",IF(G396="-","-",IF(F396&lt;&gt;TEXT(G396,"0000000000"),"CHECK - HS MISMATCH","-")))</f>
        <v/>
      </c>
    </row>
    <row r="397" ht="15" customHeight="1">
      <c r="A397">
        <f>IF(INPUT!A397="","",INPUT!A397)</f>
        <v/>
      </c>
      <c r="B397">
        <f>IF(INPUT!B397="","",INPUT!B397)</f>
        <v/>
      </c>
      <c r="C397">
        <f>IF(INPUT!D397="","",INPUT!D397)</f>
        <v/>
      </c>
      <c r="D397">
        <f>IF(INPUT!C397="","",INPUT!C397)</f>
        <v/>
      </c>
      <c r="E397">
        <f>IF(INPUT!E397="","",INPUT!E397)</f>
        <v/>
      </c>
      <c r="F397">
        <f>IF(E397="","",TEXT(E397,"0000000000"))</f>
        <v/>
      </c>
      <c r="G397">
        <f>IF(B397="","",IFERROR(INDEX(DB!$B:$B,MATCH(B397,DB!$A:$A,0)),"-"))</f>
        <v/>
      </c>
      <c r="H397">
        <f>IF(B397="","",IF(G397="-","NEW ITEM",IF(F397=TEXT(G397,"0000000000"),"MATCH","MISMATCH")))</f>
        <v/>
      </c>
      <c r="I397">
        <f>IF(B397="","",IF(G397="-","-",IF(F397&lt;&gt;TEXT(G397,"0000000000"),"CHECK - HS MISMATCH","-")))</f>
        <v/>
      </c>
    </row>
    <row r="398" ht="15" customHeight="1">
      <c r="A398">
        <f>IF(INPUT!A398="","",INPUT!A398)</f>
        <v/>
      </c>
      <c r="B398">
        <f>IF(INPUT!B398="","",INPUT!B398)</f>
        <v/>
      </c>
      <c r="C398">
        <f>IF(INPUT!D398="","",INPUT!D398)</f>
        <v/>
      </c>
      <c r="D398">
        <f>IF(INPUT!C398="","",INPUT!C398)</f>
        <v/>
      </c>
      <c r="E398">
        <f>IF(INPUT!E398="","",INPUT!E398)</f>
        <v/>
      </c>
      <c r="F398">
        <f>IF(E398="","",TEXT(E398,"0000000000"))</f>
        <v/>
      </c>
      <c r="G398">
        <f>IF(B398="","",IFERROR(INDEX(DB!$B:$B,MATCH(B398,DB!$A:$A,0)),"-"))</f>
        <v/>
      </c>
      <c r="H398">
        <f>IF(B398="","",IF(G398="-","NEW ITEM",IF(F398=TEXT(G398,"0000000000"),"MATCH","MISMATCH")))</f>
        <v/>
      </c>
      <c r="I398">
        <f>IF(B398="","",IF(G398="-","-",IF(F398&lt;&gt;TEXT(G398,"0000000000"),"CHECK - HS MISMATCH","-")))</f>
        <v/>
      </c>
    </row>
    <row r="399" ht="15" customHeight="1">
      <c r="A399">
        <f>IF(INPUT!A399="","",INPUT!A399)</f>
        <v/>
      </c>
      <c r="B399">
        <f>IF(INPUT!B399="","",INPUT!B399)</f>
        <v/>
      </c>
      <c r="C399">
        <f>IF(INPUT!D399="","",INPUT!D399)</f>
        <v/>
      </c>
      <c r="D399">
        <f>IF(INPUT!C399="","",INPUT!C399)</f>
        <v/>
      </c>
      <c r="E399">
        <f>IF(INPUT!E399="","",INPUT!E399)</f>
        <v/>
      </c>
      <c r="F399">
        <f>IF(E399="","",TEXT(E399,"0000000000"))</f>
        <v/>
      </c>
      <c r="G399">
        <f>IF(B399="","",IFERROR(INDEX(DB!$B:$B,MATCH(B399,DB!$A:$A,0)),"-"))</f>
        <v/>
      </c>
      <c r="H399">
        <f>IF(B399="","",IF(G399="-","NEW ITEM",IF(F399=TEXT(G399,"0000000000"),"MATCH","MISMATCH")))</f>
        <v/>
      </c>
      <c r="I399">
        <f>IF(B399="","",IF(G399="-","-",IF(F399&lt;&gt;TEXT(G399,"0000000000"),"CHECK - HS MISMATCH","-")))</f>
        <v/>
      </c>
    </row>
    <row r="400" ht="15" customHeight="1">
      <c r="A400">
        <f>IF(INPUT!A400="","",INPUT!A400)</f>
        <v/>
      </c>
      <c r="B400">
        <f>IF(INPUT!B400="","",INPUT!B400)</f>
        <v/>
      </c>
      <c r="C400">
        <f>IF(INPUT!D400="","",INPUT!D400)</f>
        <v/>
      </c>
      <c r="D400">
        <f>IF(INPUT!C400="","",INPUT!C400)</f>
        <v/>
      </c>
      <c r="E400">
        <f>IF(INPUT!E400="","",INPUT!E400)</f>
        <v/>
      </c>
      <c r="F400">
        <f>IF(E400="","",TEXT(E400,"0000000000"))</f>
        <v/>
      </c>
      <c r="G400">
        <f>IF(B400="","",IFERROR(INDEX(DB!$B:$B,MATCH(B400,DB!$A:$A,0)),"-"))</f>
        <v/>
      </c>
      <c r="H400">
        <f>IF(B400="","",IF(G400="-","NEW ITEM",IF(F400=TEXT(G400,"0000000000"),"MATCH","MISMATCH")))</f>
        <v/>
      </c>
      <c r="I400">
        <f>IF(B400="","",IF(G400="-","-",IF(F400&lt;&gt;TEXT(G400,"0000000000"),"CHECK - HS MISMATCH","-")))</f>
        <v/>
      </c>
    </row>
    <row r="401" ht="15" customHeight="1">
      <c r="A401">
        <f>IF(INPUT!A401="","",INPUT!A401)</f>
        <v/>
      </c>
      <c r="B401">
        <f>IF(INPUT!B401="","",INPUT!B401)</f>
        <v/>
      </c>
      <c r="C401">
        <f>IF(INPUT!D401="","",INPUT!D401)</f>
        <v/>
      </c>
      <c r="D401">
        <f>IF(INPUT!C401="","",INPUT!C401)</f>
        <v/>
      </c>
      <c r="E401">
        <f>IF(INPUT!E401="","",INPUT!E401)</f>
        <v/>
      </c>
      <c r="F401">
        <f>IF(E401="","",TEXT(E401,"0000000000"))</f>
        <v/>
      </c>
      <c r="G401">
        <f>IF(B401="","",IFERROR(INDEX(DB!$B:$B,MATCH(B401,DB!$A:$A,0)),"-"))</f>
        <v/>
      </c>
      <c r="H401">
        <f>IF(B401="","",IF(G401="-","NEW ITEM",IF(F401=TEXT(G401,"0000000000"),"MATCH","MISMATCH")))</f>
        <v/>
      </c>
      <c r="I401">
        <f>IF(B401="","",IF(G401="-","-",IF(F401&lt;&gt;TEXT(G401,"0000000000"),"CHECK - HS MISMATCH","-")))</f>
        <v/>
      </c>
    </row>
    <row r="402" ht="15" customHeight="1">
      <c r="A402">
        <f>IF(INPUT!A402="","",INPUT!A402)</f>
        <v/>
      </c>
      <c r="B402">
        <f>IF(INPUT!B402="","",INPUT!B402)</f>
        <v/>
      </c>
      <c r="C402">
        <f>IF(INPUT!D402="","",INPUT!D402)</f>
        <v/>
      </c>
      <c r="D402">
        <f>IF(INPUT!C402="","",INPUT!C402)</f>
        <v/>
      </c>
      <c r="E402">
        <f>IF(INPUT!E402="","",INPUT!E402)</f>
        <v/>
      </c>
      <c r="F402">
        <f>IF(E402="","",TEXT(E402,"0000000000"))</f>
        <v/>
      </c>
      <c r="G402">
        <f>IF(B402="","",IFERROR(INDEX(DB!$B:$B,MATCH(B402,DB!$A:$A,0)),"-"))</f>
        <v/>
      </c>
      <c r="H402">
        <f>IF(B402="","",IF(G402="-","NEW ITEM",IF(F402=TEXT(G402,"0000000000"),"MATCH","MISMATCH")))</f>
        <v/>
      </c>
      <c r="I402">
        <f>IF(B402="","",IF(G402="-","-",IF(F402&lt;&gt;TEXT(G402,"0000000000"),"CHECK - HS MISMATCH","-")))</f>
        <v/>
      </c>
    </row>
    <row r="403" ht="15" customHeight="1">
      <c r="A403">
        <f>IF(INPUT!A403="","",INPUT!A403)</f>
        <v/>
      </c>
      <c r="B403">
        <f>IF(INPUT!B403="","",INPUT!B403)</f>
        <v/>
      </c>
      <c r="C403">
        <f>IF(INPUT!D403="","",INPUT!D403)</f>
        <v/>
      </c>
      <c r="D403">
        <f>IF(INPUT!C403="","",INPUT!C403)</f>
        <v/>
      </c>
      <c r="E403">
        <f>IF(INPUT!E403="","",INPUT!E403)</f>
        <v/>
      </c>
      <c r="F403">
        <f>IF(E403="","",TEXT(E403,"0000000000"))</f>
        <v/>
      </c>
      <c r="G403">
        <f>IF(B403="","",IFERROR(INDEX(DB!$B:$B,MATCH(B403,DB!$A:$A,0)),"-"))</f>
        <v/>
      </c>
      <c r="H403">
        <f>IF(B403="","",IF(G403="-","NEW ITEM",IF(F403=TEXT(G403,"0000000000"),"MATCH","MISMATCH")))</f>
        <v/>
      </c>
      <c r="I403">
        <f>IF(B403="","",IF(G403="-","-",IF(F403&lt;&gt;TEXT(G403,"0000000000"),"CHECK - HS MISMATCH","-")))</f>
        <v/>
      </c>
    </row>
    <row r="404" ht="15" customHeight="1">
      <c r="A404">
        <f>IF(INPUT!A404="","",INPUT!A404)</f>
        <v/>
      </c>
      <c r="B404">
        <f>IF(INPUT!B404="","",INPUT!B404)</f>
        <v/>
      </c>
      <c r="C404">
        <f>IF(INPUT!D404="","",INPUT!D404)</f>
        <v/>
      </c>
      <c r="D404">
        <f>IF(INPUT!C404="","",INPUT!C404)</f>
        <v/>
      </c>
      <c r="E404">
        <f>IF(INPUT!E404="","",INPUT!E404)</f>
        <v/>
      </c>
      <c r="F404">
        <f>IF(E404="","",TEXT(E404,"0000000000"))</f>
        <v/>
      </c>
      <c r="G404">
        <f>IF(B404="","",IFERROR(INDEX(DB!$B:$B,MATCH(B404,DB!$A:$A,0)),"-"))</f>
        <v/>
      </c>
      <c r="H404">
        <f>IF(B404="","",IF(G404="-","NEW ITEM",IF(F404=TEXT(G404,"0000000000"),"MATCH","MISMATCH")))</f>
        <v/>
      </c>
      <c r="I404">
        <f>IF(B404="","",IF(G404="-","-",IF(F404&lt;&gt;TEXT(G404,"0000000000"),"CHECK - HS MISMATCH","-")))</f>
        <v/>
      </c>
    </row>
    <row r="405" ht="15" customHeight="1">
      <c r="A405">
        <f>IF(INPUT!A405="","",INPUT!A405)</f>
        <v/>
      </c>
      <c r="B405">
        <f>IF(INPUT!B405="","",INPUT!B405)</f>
        <v/>
      </c>
      <c r="C405">
        <f>IF(INPUT!D405="","",INPUT!D405)</f>
        <v/>
      </c>
      <c r="D405">
        <f>IF(INPUT!C405="","",INPUT!C405)</f>
        <v/>
      </c>
      <c r="E405">
        <f>IF(INPUT!E405="","",INPUT!E405)</f>
        <v/>
      </c>
      <c r="F405">
        <f>IF(E405="","",TEXT(E405,"0000000000"))</f>
        <v/>
      </c>
      <c r="G405">
        <f>IF(B405="","",IFERROR(INDEX(DB!$B:$B,MATCH(B405,DB!$A:$A,0)),"-"))</f>
        <v/>
      </c>
      <c r="H405">
        <f>IF(B405="","",IF(G405="-","NEW ITEM",IF(F405=TEXT(G405,"0000000000"),"MATCH","MISMATCH")))</f>
        <v/>
      </c>
      <c r="I405">
        <f>IF(B405="","",IF(G405="-","-",IF(F405&lt;&gt;TEXT(G405,"0000000000"),"CHECK - HS MISMATCH","-")))</f>
        <v/>
      </c>
    </row>
    <row r="406" ht="15" customHeight="1">
      <c r="A406">
        <f>IF(INPUT!A406="","",INPUT!A406)</f>
        <v/>
      </c>
      <c r="B406">
        <f>IF(INPUT!B406="","",INPUT!B406)</f>
        <v/>
      </c>
      <c r="C406">
        <f>IF(INPUT!D406="","",INPUT!D406)</f>
        <v/>
      </c>
      <c r="D406">
        <f>IF(INPUT!C406="","",INPUT!C406)</f>
        <v/>
      </c>
      <c r="E406">
        <f>IF(INPUT!E406="","",INPUT!E406)</f>
        <v/>
      </c>
      <c r="F406">
        <f>IF(E406="","",TEXT(E406,"0000000000"))</f>
        <v/>
      </c>
      <c r="G406">
        <f>IF(B406="","",IFERROR(INDEX(DB!$B:$B,MATCH(B406,DB!$A:$A,0)),"-"))</f>
        <v/>
      </c>
      <c r="H406">
        <f>IF(B406="","",IF(G406="-","NEW ITEM",IF(F406=TEXT(G406,"0000000000"),"MATCH","MISMATCH")))</f>
        <v/>
      </c>
      <c r="I406">
        <f>IF(B406="","",IF(G406="-","-",IF(F406&lt;&gt;TEXT(G406,"0000000000"),"CHECK - HS MISMATCH","-")))</f>
        <v/>
      </c>
    </row>
    <row r="407" ht="15" customHeight="1">
      <c r="A407">
        <f>IF(INPUT!A407="","",INPUT!A407)</f>
        <v/>
      </c>
      <c r="B407">
        <f>IF(INPUT!B407="","",INPUT!B407)</f>
        <v/>
      </c>
      <c r="C407">
        <f>IF(INPUT!D407="","",INPUT!D407)</f>
        <v/>
      </c>
      <c r="D407">
        <f>IF(INPUT!C407="","",INPUT!C407)</f>
        <v/>
      </c>
      <c r="E407">
        <f>IF(INPUT!E407="","",INPUT!E407)</f>
        <v/>
      </c>
      <c r="F407">
        <f>IF(E407="","",TEXT(E407,"0000000000"))</f>
        <v/>
      </c>
      <c r="G407">
        <f>IF(B407="","",IFERROR(INDEX(DB!$B:$B,MATCH(B407,DB!$A:$A,0)),"-"))</f>
        <v/>
      </c>
      <c r="H407">
        <f>IF(B407="","",IF(G407="-","NEW ITEM",IF(F407=TEXT(G407,"0000000000"),"MATCH","MISMATCH")))</f>
        <v/>
      </c>
      <c r="I407">
        <f>IF(B407="","",IF(G407="-","-",IF(F407&lt;&gt;TEXT(G407,"0000000000"),"CHECK - HS MISMATCH","-")))</f>
        <v/>
      </c>
    </row>
    <row r="408" ht="15" customHeight="1">
      <c r="A408">
        <f>IF(INPUT!A408="","",INPUT!A408)</f>
        <v/>
      </c>
      <c r="B408">
        <f>IF(INPUT!B408="","",INPUT!B408)</f>
        <v/>
      </c>
      <c r="C408">
        <f>IF(INPUT!D408="","",INPUT!D408)</f>
        <v/>
      </c>
      <c r="D408">
        <f>IF(INPUT!C408="","",INPUT!C408)</f>
        <v/>
      </c>
      <c r="E408">
        <f>IF(INPUT!E408="","",INPUT!E408)</f>
        <v/>
      </c>
      <c r="F408">
        <f>IF(E408="","",TEXT(E408,"0000000000"))</f>
        <v/>
      </c>
      <c r="G408">
        <f>IF(B408="","",IFERROR(INDEX(DB!$B:$B,MATCH(B408,DB!$A:$A,0)),"-"))</f>
        <v/>
      </c>
      <c r="H408">
        <f>IF(B408="","",IF(G408="-","NEW ITEM",IF(F408=TEXT(G408,"0000000000"),"MATCH","MISMATCH")))</f>
        <v/>
      </c>
      <c r="I408">
        <f>IF(B408="","",IF(G408="-","-",IF(F408&lt;&gt;TEXT(G408,"0000000000"),"CHECK - HS MISMATCH","-")))</f>
        <v/>
      </c>
    </row>
    <row r="409" ht="15" customHeight="1">
      <c r="A409">
        <f>IF(INPUT!A409="","",INPUT!A409)</f>
        <v/>
      </c>
      <c r="B409">
        <f>IF(INPUT!B409="","",INPUT!B409)</f>
        <v/>
      </c>
      <c r="C409">
        <f>IF(INPUT!D409="","",INPUT!D409)</f>
        <v/>
      </c>
      <c r="D409">
        <f>IF(INPUT!C409="","",INPUT!C409)</f>
        <v/>
      </c>
      <c r="E409">
        <f>IF(INPUT!E409="","",INPUT!E409)</f>
        <v/>
      </c>
      <c r="F409">
        <f>IF(E409="","",TEXT(E409,"0000000000"))</f>
        <v/>
      </c>
      <c r="G409">
        <f>IF(B409="","",IFERROR(INDEX(DB!$B:$B,MATCH(B409,DB!$A:$A,0)),"-"))</f>
        <v/>
      </c>
      <c r="H409">
        <f>IF(B409="","",IF(G409="-","NEW ITEM",IF(F409=TEXT(G409,"0000000000"),"MATCH","MISMATCH")))</f>
        <v/>
      </c>
      <c r="I409">
        <f>IF(B409="","",IF(G409="-","-",IF(F409&lt;&gt;TEXT(G409,"0000000000"),"CHECK - HS MISMATCH","-")))</f>
        <v/>
      </c>
    </row>
    <row r="410" ht="15" customHeight="1">
      <c r="A410">
        <f>IF(INPUT!A410="","",INPUT!A410)</f>
        <v/>
      </c>
      <c r="B410">
        <f>IF(INPUT!B410="","",INPUT!B410)</f>
        <v/>
      </c>
      <c r="C410">
        <f>IF(INPUT!D410="","",INPUT!D410)</f>
        <v/>
      </c>
      <c r="D410">
        <f>IF(INPUT!C410="","",INPUT!C410)</f>
        <v/>
      </c>
      <c r="E410">
        <f>IF(INPUT!E410="","",INPUT!E410)</f>
        <v/>
      </c>
      <c r="F410">
        <f>IF(E410="","",TEXT(E410,"0000000000"))</f>
        <v/>
      </c>
      <c r="G410">
        <f>IF(B410="","",IFERROR(INDEX(DB!$B:$B,MATCH(B410,DB!$A:$A,0)),"-"))</f>
        <v/>
      </c>
      <c r="H410">
        <f>IF(B410="","",IF(G410="-","NEW ITEM",IF(F410=TEXT(G410,"0000000000"),"MATCH","MISMATCH")))</f>
        <v/>
      </c>
      <c r="I410">
        <f>IF(B410="","",IF(G410="-","-",IF(F410&lt;&gt;TEXT(G410,"0000000000"),"CHECK - HS MISMATCH","-")))</f>
        <v/>
      </c>
    </row>
    <row r="411" ht="15" customHeight="1">
      <c r="A411">
        <f>IF(INPUT!A411="","",INPUT!A411)</f>
        <v/>
      </c>
      <c r="B411">
        <f>IF(INPUT!B411="","",INPUT!B411)</f>
        <v/>
      </c>
      <c r="C411">
        <f>IF(INPUT!D411="","",INPUT!D411)</f>
        <v/>
      </c>
      <c r="D411">
        <f>IF(INPUT!C411="","",INPUT!C411)</f>
        <v/>
      </c>
      <c r="E411">
        <f>IF(INPUT!E411="","",INPUT!E411)</f>
        <v/>
      </c>
      <c r="F411">
        <f>IF(E411="","",TEXT(E411,"0000000000"))</f>
        <v/>
      </c>
      <c r="G411">
        <f>IF(B411="","",IFERROR(INDEX(DB!$B:$B,MATCH(B411,DB!$A:$A,0)),"-"))</f>
        <v/>
      </c>
      <c r="H411">
        <f>IF(B411="","",IF(G411="-","NEW ITEM",IF(F411=TEXT(G411,"0000000000"),"MATCH","MISMATCH")))</f>
        <v/>
      </c>
      <c r="I411">
        <f>IF(B411="","",IF(G411="-","-",IF(F411&lt;&gt;TEXT(G411,"0000000000"),"CHECK - HS MISMATCH","-")))</f>
        <v/>
      </c>
    </row>
    <row r="412" ht="15" customHeight="1">
      <c r="A412">
        <f>IF(INPUT!A412="","",INPUT!A412)</f>
        <v/>
      </c>
      <c r="B412">
        <f>IF(INPUT!B412="","",INPUT!B412)</f>
        <v/>
      </c>
      <c r="C412">
        <f>IF(INPUT!D412="","",INPUT!D412)</f>
        <v/>
      </c>
      <c r="D412">
        <f>IF(INPUT!C412="","",INPUT!C412)</f>
        <v/>
      </c>
      <c r="E412">
        <f>IF(INPUT!E412="","",INPUT!E412)</f>
        <v/>
      </c>
      <c r="F412">
        <f>IF(E412="","",TEXT(E412,"0000000000"))</f>
        <v/>
      </c>
      <c r="G412">
        <f>IF(B412="","",IFERROR(INDEX(DB!$B:$B,MATCH(B412,DB!$A:$A,0)),"-"))</f>
        <v/>
      </c>
      <c r="H412">
        <f>IF(B412="","",IF(G412="-","NEW ITEM",IF(F412=TEXT(G412,"0000000000"),"MATCH","MISMATCH")))</f>
        <v/>
      </c>
      <c r="I412">
        <f>IF(B412="","",IF(G412="-","-",IF(F412&lt;&gt;TEXT(G412,"0000000000"),"CHECK - HS MISMATCH","-")))</f>
        <v/>
      </c>
    </row>
    <row r="413" ht="15" customHeight="1">
      <c r="A413">
        <f>IF(INPUT!A413="","",INPUT!A413)</f>
        <v/>
      </c>
      <c r="B413">
        <f>IF(INPUT!B413="","",INPUT!B413)</f>
        <v/>
      </c>
      <c r="C413">
        <f>IF(INPUT!D413="","",INPUT!D413)</f>
        <v/>
      </c>
      <c r="D413">
        <f>IF(INPUT!C413="","",INPUT!C413)</f>
        <v/>
      </c>
      <c r="E413">
        <f>IF(INPUT!E413="","",INPUT!E413)</f>
        <v/>
      </c>
      <c r="F413">
        <f>IF(E413="","",TEXT(E413,"0000000000"))</f>
        <v/>
      </c>
      <c r="G413">
        <f>IF(B413="","",IFERROR(INDEX(DB!$B:$B,MATCH(B413,DB!$A:$A,0)),"-"))</f>
        <v/>
      </c>
      <c r="H413">
        <f>IF(B413="","",IF(G413="-","NEW ITEM",IF(F413=TEXT(G413,"0000000000"),"MATCH","MISMATCH")))</f>
        <v/>
      </c>
      <c r="I413">
        <f>IF(B413="","",IF(G413="-","-",IF(F413&lt;&gt;TEXT(G413,"0000000000"),"CHECK - HS MISMATCH","-")))</f>
        <v/>
      </c>
    </row>
    <row r="414" ht="15" customHeight="1">
      <c r="A414">
        <f>IF(INPUT!A414="","",INPUT!A414)</f>
        <v/>
      </c>
      <c r="B414">
        <f>IF(INPUT!B414="","",INPUT!B414)</f>
        <v/>
      </c>
      <c r="C414">
        <f>IF(INPUT!D414="","",INPUT!D414)</f>
        <v/>
      </c>
      <c r="D414">
        <f>IF(INPUT!C414="","",INPUT!C414)</f>
        <v/>
      </c>
      <c r="E414">
        <f>IF(INPUT!E414="","",INPUT!E414)</f>
        <v/>
      </c>
      <c r="F414">
        <f>IF(E414="","",TEXT(E414,"0000000000"))</f>
        <v/>
      </c>
      <c r="G414">
        <f>IF(B414="","",IFERROR(INDEX(DB!$B:$B,MATCH(B414,DB!$A:$A,0)),"-"))</f>
        <v/>
      </c>
      <c r="H414">
        <f>IF(B414="","",IF(G414="-","NEW ITEM",IF(F414=TEXT(G414,"0000000000"),"MATCH","MISMATCH")))</f>
        <v/>
      </c>
      <c r="I414">
        <f>IF(B414="","",IF(G414="-","-",IF(F414&lt;&gt;TEXT(G414,"0000000000"),"CHECK - HS MISMATCH","-")))</f>
        <v/>
      </c>
    </row>
    <row r="415" ht="15" customHeight="1">
      <c r="A415">
        <f>IF(INPUT!A415="","",INPUT!A415)</f>
        <v/>
      </c>
      <c r="B415">
        <f>IF(INPUT!B415="","",INPUT!B415)</f>
        <v/>
      </c>
      <c r="C415">
        <f>IF(INPUT!D415="","",INPUT!D415)</f>
        <v/>
      </c>
      <c r="D415">
        <f>IF(INPUT!C415="","",INPUT!C415)</f>
        <v/>
      </c>
      <c r="E415">
        <f>IF(INPUT!E415="","",INPUT!E415)</f>
        <v/>
      </c>
      <c r="F415">
        <f>IF(E415="","",TEXT(E415,"0000000000"))</f>
        <v/>
      </c>
      <c r="G415">
        <f>IF(B415="","",IFERROR(INDEX(DB!$B:$B,MATCH(B415,DB!$A:$A,0)),"-"))</f>
        <v/>
      </c>
      <c r="H415">
        <f>IF(B415="","",IF(G415="-","NEW ITEM",IF(F415=TEXT(G415,"0000000000"),"MATCH","MISMATCH")))</f>
        <v/>
      </c>
      <c r="I415">
        <f>IF(B415="","",IF(G415="-","-",IF(F415&lt;&gt;TEXT(G415,"0000000000"),"CHECK - HS MISMATCH","-")))</f>
        <v/>
      </c>
    </row>
    <row r="416" ht="15" customHeight="1">
      <c r="A416">
        <f>IF(INPUT!A416="","",INPUT!A416)</f>
        <v/>
      </c>
      <c r="B416">
        <f>IF(INPUT!B416="","",INPUT!B416)</f>
        <v/>
      </c>
      <c r="C416">
        <f>IF(INPUT!D416="","",INPUT!D416)</f>
        <v/>
      </c>
      <c r="D416">
        <f>IF(INPUT!C416="","",INPUT!C416)</f>
        <v/>
      </c>
      <c r="E416">
        <f>IF(INPUT!E416="","",INPUT!E416)</f>
        <v/>
      </c>
      <c r="F416">
        <f>IF(E416="","",TEXT(E416,"0000000000"))</f>
        <v/>
      </c>
      <c r="G416">
        <f>IF(B416="","",IFERROR(INDEX(DB!$B:$B,MATCH(B416,DB!$A:$A,0)),"-"))</f>
        <v/>
      </c>
      <c r="H416">
        <f>IF(B416="","",IF(G416="-","NEW ITEM",IF(F416=TEXT(G416,"0000000000"),"MATCH","MISMATCH")))</f>
        <v/>
      </c>
      <c r="I416">
        <f>IF(B416="","",IF(G416="-","-",IF(F416&lt;&gt;TEXT(G416,"0000000000"),"CHECK - HS MISMATCH","-")))</f>
        <v/>
      </c>
    </row>
    <row r="417" ht="15" customHeight="1">
      <c r="A417">
        <f>IF(INPUT!A417="","",INPUT!A417)</f>
        <v/>
      </c>
      <c r="B417">
        <f>IF(INPUT!B417="","",INPUT!B417)</f>
        <v/>
      </c>
      <c r="C417">
        <f>IF(INPUT!D417="","",INPUT!D417)</f>
        <v/>
      </c>
      <c r="D417">
        <f>IF(INPUT!C417="","",INPUT!C417)</f>
        <v/>
      </c>
      <c r="E417">
        <f>IF(INPUT!E417="","",INPUT!E417)</f>
        <v/>
      </c>
      <c r="F417">
        <f>IF(E417="","",TEXT(E417,"0000000000"))</f>
        <v/>
      </c>
      <c r="G417">
        <f>IF(B417="","",IFERROR(INDEX(DB!$B:$B,MATCH(B417,DB!$A:$A,0)),"-"))</f>
        <v/>
      </c>
      <c r="H417">
        <f>IF(B417="","",IF(G417="-","NEW ITEM",IF(F417=TEXT(G417,"0000000000"),"MATCH","MISMATCH")))</f>
        <v/>
      </c>
      <c r="I417">
        <f>IF(B417="","",IF(G417="-","-",IF(F417&lt;&gt;TEXT(G417,"0000000000"),"CHECK - HS MISMATCH","-")))</f>
        <v/>
      </c>
    </row>
    <row r="418" ht="15" customHeight="1">
      <c r="A418">
        <f>IF(INPUT!A418="","",INPUT!A418)</f>
        <v/>
      </c>
      <c r="B418">
        <f>IF(INPUT!B418="","",INPUT!B418)</f>
        <v/>
      </c>
      <c r="C418">
        <f>IF(INPUT!D418="","",INPUT!D418)</f>
        <v/>
      </c>
      <c r="D418">
        <f>IF(INPUT!C418="","",INPUT!C418)</f>
        <v/>
      </c>
      <c r="E418">
        <f>IF(INPUT!E418="","",INPUT!E418)</f>
        <v/>
      </c>
      <c r="F418">
        <f>IF(E418="","",TEXT(E418,"0000000000"))</f>
        <v/>
      </c>
      <c r="G418">
        <f>IF(B418="","",IFERROR(INDEX(DB!$B:$B,MATCH(B418,DB!$A:$A,0)),"-"))</f>
        <v/>
      </c>
      <c r="H418">
        <f>IF(B418="","",IF(G418="-","NEW ITEM",IF(F418=TEXT(G418,"0000000000"),"MATCH","MISMATCH")))</f>
        <v/>
      </c>
      <c r="I418">
        <f>IF(B418="","",IF(G418="-","-",IF(F418&lt;&gt;TEXT(G418,"0000000000"),"CHECK - HS MISMATCH","-")))</f>
        <v/>
      </c>
    </row>
    <row r="419" ht="15" customHeight="1">
      <c r="A419">
        <f>IF(INPUT!A419="","",INPUT!A419)</f>
        <v/>
      </c>
      <c r="B419">
        <f>IF(INPUT!B419="","",INPUT!B419)</f>
        <v/>
      </c>
      <c r="C419">
        <f>IF(INPUT!D419="","",INPUT!D419)</f>
        <v/>
      </c>
      <c r="D419">
        <f>IF(INPUT!C419="","",INPUT!C419)</f>
        <v/>
      </c>
      <c r="E419">
        <f>IF(INPUT!E419="","",INPUT!E419)</f>
        <v/>
      </c>
      <c r="F419">
        <f>IF(E419="","",TEXT(E419,"0000000000"))</f>
        <v/>
      </c>
      <c r="G419">
        <f>IF(B419="","",IFERROR(INDEX(DB!$B:$B,MATCH(B419,DB!$A:$A,0)),"-"))</f>
        <v/>
      </c>
      <c r="H419">
        <f>IF(B419="","",IF(G419="-","NEW ITEM",IF(F419=TEXT(G419,"0000000000"),"MATCH","MISMATCH")))</f>
        <v/>
      </c>
      <c r="I419">
        <f>IF(B419="","",IF(G419="-","-",IF(F419&lt;&gt;TEXT(G419,"0000000000"),"CHECK - HS MISMATCH","-")))</f>
        <v/>
      </c>
    </row>
    <row r="420" ht="15" customHeight="1">
      <c r="A420">
        <f>IF(INPUT!A420="","",INPUT!A420)</f>
        <v/>
      </c>
      <c r="B420">
        <f>IF(INPUT!B420="","",INPUT!B420)</f>
        <v/>
      </c>
      <c r="C420">
        <f>IF(INPUT!D420="","",INPUT!D420)</f>
        <v/>
      </c>
      <c r="D420">
        <f>IF(INPUT!C420="","",INPUT!C420)</f>
        <v/>
      </c>
      <c r="E420">
        <f>IF(INPUT!E420="","",INPUT!E420)</f>
        <v/>
      </c>
      <c r="F420">
        <f>IF(E420="","",TEXT(E420,"0000000000"))</f>
        <v/>
      </c>
      <c r="G420">
        <f>IF(B420="","",IFERROR(INDEX(DB!$B:$B,MATCH(B420,DB!$A:$A,0)),"-"))</f>
        <v/>
      </c>
      <c r="H420">
        <f>IF(B420="","",IF(G420="-","NEW ITEM",IF(F420=TEXT(G420,"0000000000"),"MATCH","MISMATCH")))</f>
        <v/>
      </c>
      <c r="I420">
        <f>IF(B420="","",IF(G420="-","-",IF(F420&lt;&gt;TEXT(G420,"0000000000"),"CHECK - HS MISMATCH","-")))</f>
        <v/>
      </c>
    </row>
    <row r="421" ht="15" customHeight="1">
      <c r="A421">
        <f>IF(INPUT!A421="","",INPUT!A421)</f>
        <v/>
      </c>
      <c r="B421">
        <f>IF(INPUT!B421="","",INPUT!B421)</f>
        <v/>
      </c>
      <c r="C421">
        <f>IF(INPUT!D421="","",INPUT!D421)</f>
        <v/>
      </c>
      <c r="D421">
        <f>IF(INPUT!C421="","",INPUT!C421)</f>
        <v/>
      </c>
      <c r="E421">
        <f>IF(INPUT!E421="","",INPUT!E421)</f>
        <v/>
      </c>
      <c r="F421">
        <f>IF(E421="","",TEXT(E421,"0000000000"))</f>
        <v/>
      </c>
      <c r="G421">
        <f>IF(B421="","",IFERROR(INDEX(DB!$B:$B,MATCH(B421,DB!$A:$A,0)),"-"))</f>
        <v/>
      </c>
      <c r="H421">
        <f>IF(B421="","",IF(G421="-","NEW ITEM",IF(F421=TEXT(G421,"0000000000"),"MATCH","MISMATCH")))</f>
        <v/>
      </c>
      <c r="I421">
        <f>IF(B421="","",IF(G421="-","-",IF(F421&lt;&gt;TEXT(G421,"0000000000"),"CHECK - HS MISMATCH","-")))</f>
        <v/>
      </c>
    </row>
    <row r="422" ht="15" customHeight="1">
      <c r="A422">
        <f>IF(INPUT!A422="","",INPUT!A422)</f>
        <v/>
      </c>
      <c r="B422">
        <f>IF(INPUT!B422="","",INPUT!B422)</f>
        <v/>
      </c>
      <c r="C422">
        <f>IF(INPUT!D422="","",INPUT!D422)</f>
        <v/>
      </c>
      <c r="D422">
        <f>IF(INPUT!C422="","",INPUT!C422)</f>
        <v/>
      </c>
      <c r="E422">
        <f>IF(INPUT!E422="","",INPUT!E422)</f>
        <v/>
      </c>
      <c r="F422">
        <f>IF(E422="","",TEXT(E422,"0000000000"))</f>
        <v/>
      </c>
      <c r="G422">
        <f>IF(B422="","",IFERROR(INDEX(DB!$B:$B,MATCH(B422,DB!$A:$A,0)),"-"))</f>
        <v/>
      </c>
      <c r="H422">
        <f>IF(B422="","",IF(G422="-","NEW ITEM",IF(F422=TEXT(G422,"0000000000"),"MATCH","MISMATCH")))</f>
        <v/>
      </c>
      <c r="I422">
        <f>IF(B422="","",IF(G422="-","-",IF(F422&lt;&gt;TEXT(G422,"0000000000"),"CHECK - HS MISMATCH","-")))</f>
        <v/>
      </c>
    </row>
    <row r="423" ht="15" customHeight="1">
      <c r="A423">
        <f>IF(INPUT!A423="","",INPUT!A423)</f>
        <v/>
      </c>
      <c r="B423">
        <f>IF(INPUT!B423="","",INPUT!B423)</f>
        <v/>
      </c>
      <c r="C423">
        <f>IF(INPUT!D423="","",INPUT!D423)</f>
        <v/>
      </c>
      <c r="D423">
        <f>IF(INPUT!C423="","",INPUT!C423)</f>
        <v/>
      </c>
      <c r="E423">
        <f>IF(INPUT!E423="","",INPUT!E423)</f>
        <v/>
      </c>
      <c r="F423">
        <f>IF(E423="","",TEXT(E423,"0000000000"))</f>
        <v/>
      </c>
      <c r="G423">
        <f>IF(B423="","",IFERROR(INDEX(DB!$B:$B,MATCH(B423,DB!$A:$A,0)),"-"))</f>
        <v/>
      </c>
      <c r="H423">
        <f>IF(B423="","",IF(G423="-","NEW ITEM",IF(F423=TEXT(G423,"0000000000"),"MATCH","MISMATCH")))</f>
        <v/>
      </c>
      <c r="I423">
        <f>IF(B423="","",IF(G423="-","-",IF(F423&lt;&gt;TEXT(G423,"0000000000"),"CHECK - HS MISMATCH","-")))</f>
        <v/>
      </c>
    </row>
    <row r="424" ht="15" customHeight="1">
      <c r="A424">
        <f>IF(INPUT!A424="","",INPUT!A424)</f>
        <v/>
      </c>
      <c r="B424">
        <f>IF(INPUT!B424="","",INPUT!B424)</f>
        <v/>
      </c>
      <c r="C424">
        <f>IF(INPUT!D424="","",INPUT!D424)</f>
        <v/>
      </c>
      <c r="D424">
        <f>IF(INPUT!C424="","",INPUT!C424)</f>
        <v/>
      </c>
      <c r="E424">
        <f>IF(INPUT!E424="","",INPUT!E424)</f>
        <v/>
      </c>
      <c r="F424">
        <f>IF(E424="","",TEXT(E424,"0000000000"))</f>
        <v/>
      </c>
      <c r="G424">
        <f>IF(B424="","",IFERROR(INDEX(DB!$B:$B,MATCH(B424,DB!$A:$A,0)),"-"))</f>
        <v/>
      </c>
      <c r="H424">
        <f>IF(B424="","",IF(G424="-","NEW ITEM",IF(F424=TEXT(G424,"0000000000"),"MATCH","MISMATCH")))</f>
        <v/>
      </c>
      <c r="I424">
        <f>IF(B424="","",IF(G424="-","-",IF(F424&lt;&gt;TEXT(G424,"0000000000"),"CHECK - HS MISMATCH","-")))</f>
        <v/>
      </c>
    </row>
    <row r="425" ht="15" customHeight="1">
      <c r="A425">
        <f>IF(INPUT!A425="","",INPUT!A425)</f>
        <v/>
      </c>
      <c r="B425">
        <f>IF(INPUT!B425="","",INPUT!B425)</f>
        <v/>
      </c>
      <c r="C425">
        <f>IF(INPUT!D425="","",INPUT!D425)</f>
        <v/>
      </c>
      <c r="D425">
        <f>IF(INPUT!C425="","",INPUT!C425)</f>
        <v/>
      </c>
      <c r="E425">
        <f>IF(INPUT!E425="","",INPUT!E425)</f>
        <v/>
      </c>
      <c r="F425">
        <f>IF(E425="","",TEXT(E425,"0000000000"))</f>
        <v/>
      </c>
      <c r="G425">
        <f>IF(B425="","",IFERROR(INDEX(DB!$B:$B,MATCH(B425,DB!$A:$A,0)),"-"))</f>
        <v/>
      </c>
      <c r="H425">
        <f>IF(B425="","",IF(G425="-","NEW ITEM",IF(F425=TEXT(G425,"0000000000"),"MATCH","MISMATCH")))</f>
        <v/>
      </c>
      <c r="I425">
        <f>IF(B425="","",IF(G425="-","-",IF(F425&lt;&gt;TEXT(G425,"0000000000"),"CHECK - HS MISMATCH","-")))</f>
        <v/>
      </c>
    </row>
    <row r="426" ht="15" customHeight="1">
      <c r="A426">
        <f>IF(INPUT!A426="","",INPUT!A426)</f>
        <v/>
      </c>
      <c r="B426">
        <f>IF(INPUT!B426="","",INPUT!B426)</f>
        <v/>
      </c>
      <c r="C426">
        <f>IF(INPUT!D426="","",INPUT!D426)</f>
        <v/>
      </c>
      <c r="D426">
        <f>IF(INPUT!C426="","",INPUT!C426)</f>
        <v/>
      </c>
      <c r="E426">
        <f>IF(INPUT!E426="","",INPUT!E426)</f>
        <v/>
      </c>
      <c r="F426">
        <f>IF(E426="","",TEXT(E426,"0000000000"))</f>
        <v/>
      </c>
      <c r="G426">
        <f>IF(B426="","",IFERROR(INDEX(DB!$B:$B,MATCH(B426,DB!$A:$A,0)),"-"))</f>
        <v/>
      </c>
      <c r="H426">
        <f>IF(B426="","",IF(G426="-","NEW ITEM",IF(F426=TEXT(G426,"0000000000"),"MATCH","MISMATCH")))</f>
        <v/>
      </c>
      <c r="I426">
        <f>IF(B426="","",IF(G426="-","-",IF(F426&lt;&gt;TEXT(G426,"0000000000"),"CHECK - HS MISMATCH","-")))</f>
        <v/>
      </c>
    </row>
    <row r="427" ht="15" customHeight="1">
      <c r="A427">
        <f>IF(INPUT!A427="","",INPUT!A427)</f>
        <v/>
      </c>
      <c r="B427">
        <f>IF(INPUT!B427="","",INPUT!B427)</f>
        <v/>
      </c>
      <c r="C427">
        <f>IF(INPUT!D427="","",INPUT!D427)</f>
        <v/>
      </c>
      <c r="D427">
        <f>IF(INPUT!C427="","",INPUT!C427)</f>
        <v/>
      </c>
      <c r="E427">
        <f>IF(INPUT!E427="","",INPUT!E427)</f>
        <v/>
      </c>
      <c r="F427">
        <f>IF(E427="","",TEXT(E427,"0000000000"))</f>
        <v/>
      </c>
      <c r="G427">
        <f>IF(B427="","",IFERROR(INDEX(DB!$B:$B,MATCH(B427,DB!$A:$A,0)),"-"))</f>
        <v/>
      </c>
      <c r="H427">
        <f>IF(B427="","",IF(G427="-","NEW ITEM",IF(F427=TEXT(G427,"0000000000"),"MATCH","MISMATCH")))</f>
        <v/>
      </c>
      <c r="I427">
        <f>IF(B427="","",IF(G427="-","-",IF(F427&lt;&gt;TEXT(G427,"0000000000"),"CHECK - HS MISMATCH","-")))</f>
        <v/>
      </c>
    </row>
    <row r="428" ht="15" customHeight="1">
      <c r="A428">
        <f>IF(INPUT!A428="","",INPUT!A428)</f>
        <v/>
      </c>
      <c r="B428">
        <f>IF(INPUT!B428="","",INPUT!B428)</f>
        <v/>
      </c>
      <c r="C428">
        <f>IF(INPUT!D428="","",INPUT!D428)</f>
        <v/>
      </c>
      <c r="D428">
        <f>IF(INPUT!C428="","",INPUT!C428)</f>
        <v/>
      </c>
      <c r="E428">
        <f>IF(INPUT!E428="","",INPUT!E428)</f>
        <v/>
      </c>
      <c r="F428">
        <f>IF(E428="","",TEXT(E428,"0000000000"))</f>
        <v/>
      </c>
      <c r="G428">
        <f>IF(B428="","",IFERROR(INDEX(DB!$B:$B,MATCH(B428,DB!$A:$A,0)),"-"))</f>
        <v/>
      </c>
      <c r="H428">
        <f>IF(B428="","",IF(G428="-","NEW ITEM",IF(F428=TEXT(G428,"0000000000"),"MATCH","MISMATCH")))</f>
        <v/>
      </c>
      <c r="I428">
        <f>IF(B428="","",IF(G428="-","-",IF(F428&lt;&gt;TEXT(G428,"0000000000"),"CHECK - HS MISMATCH","-")))</f>
        <v/>
      </c>
    </row>
    <row r="429" ht="15" customHeight="1">
      <c r="A429">
        <f>IF(INPUT!A429="","",INPUT!A429)</f>
        <v/>
      </c>
      <c r="B429">
        <f>IF(INPUT!B429="","",INPUT!B429)</f>
        <v/>
      </c>
      <c r="C429">
        <f>IF(INPUT!D429="","",INPUT!D429)</f>
        <v/>
      </c>
      <c r="D429">
        <f>IF(INPUT!C429="","",INPUT!C429)</f>
        <v/>
      </c>
      <c r="E429">
        <f>IF(INPUT!E429="","",INPUT!E429)</f>
        <v/>
      </c>
      <c r="F429">
        <f>IF(E429="","",TEXT(E429,"0000000000"))</f>
        <v/>
      </c>
      <c r="G429">
        <f>IF(B429="","",IFERROR(INDEX(DB!$B:$B,MATCH(B429,DB!$A:$A,0)),"-"))</f>
        <v/>
      </c>
      <c r="H429">
        <f>IF(B429="","",IF(G429="-","NEW ITEM",IF(F429=TEXT(G429,"0000000000"),"MATCH","MISMATCH")))</f>
        <v/>
      </c>
      <c r="I429">
        <f>IF(B429="","",IF(G429="-","-",IF(F429&lt;&gt;TEXT(G429,"0000000000"),"CHECK - HS MISMATCH","-")))</f>
        <v/>
      </c>
    </row>
    <row r="430" ht="15" customHeight="1">
      <c r="A430">
        <f>IF(INPUT!A430="","",INPUT!A430)</f>
        <v/>
      </c>
      <c r="B430">
        <f>IF(INPUT!B430="","",INPUT!B430)</f>
        <v/>
      </c>
      <c r="C430">
        <f>IF(INPUT!D430="","",INPUT!D430)</f>
        <v/>
      </c>
      <c r="D430">
        <f>IF(INPUT!C430="","",INPUT!C430)</f>
        <v/>
      </c>
      <c r="E430">
        <f>IF(INPUT!E430="","",INPUT!E430)</f>
        <v/>
      </c>
      <c r="F430">
        <f>IF(E430="","",TEXT(E430,"0000000000"))</f>
        <v/>
      </c>
      <c r="G430">
        <f>IF(B430="","",IFERROR(INDEX(DB!$B:$B,MATCH(B430,DB!$A:$A,0)),"-"))</f>
        <v/>
      </c>
      <c r="H430">
        <f>IF(B430="","",IF(G430="-","NEW ITEM",IF(F430=TEXT(G430,"0000000000"),"MATCH","MISMATCH")))</f>
        <v/>
      </c>
      <c r="I430">
        <f>IF(B430="","",IF(G430="-","-",IF(F430&lt;&gt;TEXT(G430,"0000000000"),"CHECK - HS MISMATCH","-")))</f>
        <v/>
      </c>
    </row>
    <row r="431" ht="15" customHeight="1">
      <c r="A431">
        <f>IF(INPUT!A431="","",INPUT!A431)</f>
        <v/>
      </c>
      <c r="B431">
        <f>IF(INPUT!B431="","",INPUT!B431)</f>
        <v/>
      </c>
      <c r="C431">
        <f>IF(INPUT!D431="","",INPUT!D431)</f>
        <v/>
      </c>
      <c r="D431">
        <f>IF(INPUT!C431="","",INPUT!C431)</f>
        <v/>
      </c>
      <c r="E431">
        <f>IF(INPUT!E431="","",INPUT!E431)</f>
        <v/>
      </c>
      <c r="F431">
        <f>IF(E431="","",TEXT(E431,"0000000000"))</f>
        <v/>
      </c>
      <c r="G431">
        <f>IF(B431="","",IFERROR(INDEX(DB!$B:$B,MATCH(B431,DB!$A:$A,0)),"-"))</f>
        <v/>
      </c>
      <c r="H431">
        <f>IF(B431="","",IF(G431="-","NEW ITEM",IF(F431=TEXT(G431,"0000000000"),"MATCH","MISMATCH")))</f>
        <v/>
      </c>
      <c r="I431">
        <f>IF(B431="","",IF(G431="-","-",IF(F431&lt;&gt;TEXT(G431,"0000000000"),"CHECK - HS MISMATCH","-")))</f>
        <v/>
      </c>
    </row>
    <row r="432" ht="15" customHeight="1">
      <c r="A432">
        <f>IF(INPUT!A432="","",INPUT!A432)</f>
        <v/>
      </c>
      <c r="B432">
        <f>IF(INPUT!B432="","",INPUT!B432)</f>
        <v/>
      </c>
      <c r="C432">
        <f>IF(INPUT!D432="","",INPUT!D432)</f>
        <v/>
      </c>
      <c r="D432">
        <f>IF(INPUT!C432="","",INPUT!C432)</f>
        <v/>
      </c>
      <c r="E432">
        <f>IF(INPUT!E432="","",INPUT!E432)</f>
        <v/>
      </c>
      <c r="F432">
        <f>IF(E432="","",TEXT(E432,"0000000000"))</f>
        <v/>
      </c>
      <c r="G432">
        <f>IF(B432="","",IFERROR(INDEX(DB!$B:$B,MATCH(B432,DB!$A:$A,0)),"-"))</f>
        <v/>
      </c>
      <c r="H432">
        <f>IF(B432="","",IF(G432="-","NEW ITEM",IF(F432=TEXT(G432,"0000000000"),"MATCH","MISMATCH")))</f>
        <v/>
      </c>
      <c r="I432">
        <f>IF(B432="","",IF(G432="-","-",IF(F432&lt;&gt;TEXT(G432,"0000000000"),"CHECK - HS MISMATCH","-")))</f>
        <v/>
      </c>
    </row>
    <row r="433" ht="15" customHeight="1">
      <c r="A433">
        <f>IF(INPUT!A433="","",INPUT!A433)</f>
        <v/>
      </c>
      <c r="B433">
        <f>IF(INPUT!B433="","",INPUT!B433)</f>
        <v/>
      </c>
      <c r="C433">
        <f>IF(INPUT!D433="","",INPUT!D433)</f>
        <v/>
      </c>
      <c r="D433">
        <f>IF(INPUT!C433="","",INPUT!C433)</f>
        <v/>
      </c>
      <c r="E433">
        <f>IF(INPUT!E433="","",INPUT!E433)</f>
        <v/>
      </c>
      <c r="F433">
        <f>IF(E433="","",TEXT(E433,"0000000000"))</f>
        <v/>
      </c>
      <c r="G433">
        <f>IF(B433="","",IFERROR(INDEX(DB!$B:$B,MATCH(B433,DB!$A:$A,0)),"-"))</f>
        <v/>
      </c>
      <c r="H433">
        <f>IF(B433="","",IF(G433="-","NEW ITEM",IF(F433=TEXT(G433,"0000000000"),"MATCH","MISMATCH")))</f>
        <v/>
      </c>
      <c r="I433">
        <f>IF(B433="","",IF(G433="-","-",IF(F433&lt;&gt;TEXT(G433,"0000000000"),"CHECK - HS MISMATCH","-")))</f>
        <v/>
      </c>
    </row>
    <row r="434" ht="15" customHeight="1">
      <c r="A434">
        <f>IF(INPUT!A434="","",INPUT!A434)</f>
        <v/>
      </c>
      <c r="B434">
        <f>IF(INPUT!B434="","",INPUT!B434)</f>
        <v/>
      </c>
      <c r="C434">
        <f>IF(INPUT!D434="","",INPUT!D434)</f>
        <v/>
      </c>
      <c r="D434">
        <f>IF(INPUT!C434="","",INPUT!C434)</f>
        <v/>
      </c>
      <c r="E434">
        <f>IF(INPUT!E434="","",INPUT!E434)</f>
        <v/>
      </c>
      <c r="F434">
        <f>IF(E434="","",TEXT(E434,"0000000000"))</f>
        <v/>
      </c>
      <c r="G434">
        <f>IF(B434="","",IFERROR(INDEX(DB!$B:$B,MATCH(B434,DB!$A:$A,0)),"-"))</f>
        <v/>
      </c>
      <c r="H434">
        <f>IF(B434="","",IF(G434="-","NEW ITEM",IF(F434=TEXT(G434,"0000000000"),"MATCH","MISMATCH")))</f>
        <v/>
      </c>
      <c r="I434">
        <f>IF(B434="","",IF(G434="-","-",IF(F434&lt;&gt;TEXT(G434,"0000000000"),"CHECK - HS MISMATCH","-")))</f>
        <v/>
      </c>
    </row>
    <row r="435" ht="15" customHeight="1">
      <c r="A435">
        <f>IF(INPUT!A435="","",INPUT!A435)</f>
        <v/>
      </c>
      <c r="B435">
        <f>IF(INPUT!B435="","",INPUT!B435)</f>
        <v/>
      </c>
      <c r="C435">
        <f>IF(INPUT!D435="","",INPUT!D435)</f>
        <v/>
      </c>
      <c r="D435">
        <f>IF(INPUT!C435="","",INPUT!C435)</f>
        <v/>
      </c>
      <c r="E435">
        <f>IF(INPUT!E435="","",INPUT!E435)</f>
        <v/>
      </c>
      <c r="F435">
        <f>IF(E435="","",TEXT(E435,"0000000000"))</f>
        <v/>
      </c>
      <c r="G435">
        <f>IF(B435="","",IFERROR(INDEX(DB!$B:$B,MATCH(B435,DB!$A:$A,0)),"-"))</f>
        <v/>
      </c>
      <c r="H435">
        <f>IF(B435="","",IF(G435="-","NEW ITEM",IF(F435=TEXT(G435,"0000000000"),"MATCH","MISMATCH")))</f>
        <v/>
      </c>
      <c r="I435">
        <f>IF(B435="","",IF(G435="-","-",IF(F435&lt;&gt;TEXT(G435,"0000000000"),"CHECK - HS MISMATCH","-")))</f>
        <v/>
      </c>
    </row>
    <row r="436" ht="15" customHeight="1">
      <c r="A436">
        <f>IF(INPUT!A436="","",INPUT!A436)</f>
        <v/>
      </c>
      <c r="B436">
        <f>IF(INPUT!B436="","",INPUT!B436)</f>
        <v/>
      </c>
      <c r="C436">
        <f>IF(INPUT!D436="","",INPUT!D436)</f>
        <v/>
      </c>
      <c r="D436">
        <f>IF(INPUT!C436="","",INPUT!C436)</f>
        <v/>
      </c>
      <c r="E436">
        <f>IF(INPUT!E436="","",INPUT!E436)</f>
        <v/>
      </c>
      <c r="F436">
        <f>IF(E436="","",TEXT(E436,"0000000000"))</f>
        <v/>
      </c>
      <c r="G436">
        <f>IF(B436="","",IFERROR(INDEX(DB!$B:$B,MATCH(B436,DB!$A:$A,0)),"-"))</f>
        <v/>
      </c>
      <c r="H436">
        <f>IF(B436="","",IF(G436="-","NEW ITEM",IF(F436=TEXT(G436,"0000000000"),"MATCH","MISMATCH")))</f>
        <v/>
      </c>
      <c r="I436">
        <f>IF(B436="","",IF(G436="-","-",IF(F436&lt;&gt;TEXT(G436,"0000000000"),"CHECK - HS MISMATCH","-")))</f>
        <v/>
      </c>
    </row>
    <row r="437" ht="15" customHeight="1">
      <c r="A437">
        <f>IF(INPUT!A437="","",INPUT!A437)</f>
        <v/>
      </c>
      <c r="B437">
        <f>IF(INPUT!B437="","",INPUT!B437)</f>
        <v/>
      </c>
      <c r="C437">
        <f>IF(INPUT!D437="","",INPUT!D437)</f>
        <v/>
      </c>
      <c r="D437">
        <f>IF(INPUT!C437="","",INPUT!C437)</f>
        <v/>
      </c>
      <c r="E437">
        <f>IF(INPUT!E437="","",INPUT!E437)</f>
        <v/>
      </c>
      <c r="F437">
        <f>IF(E437="","",TEXT(E437,"0000000000"))</f>
        <v/>
      </c>
      <c r="G437">
        <f>IF(B437="","",IFERROR(INDEX(DB!$B:$B,MATCH(B437,DB!$A:$A,0)),"-"))</f>
        <v/>
      </c>
      <c r="H437">
        <f>IF(B437="","",IF(G437="-","NEW ITEM",IF(F437=TEXT(G437,"0000000000"),"MATCH","MISMATCH")))</f>
        <v/>
      </c>
      <c r="I437">
        <f>IF(B437="","",IF(G437="-","-",IF(F437&lt;&gt;TEXT(G437,"0000000000"),"CHECK - HS MISMATCH","-")))</f>
        <v/>
      </c>
    </row>
    <row r="438" ht="15" customHeight="1">
      <c r="A438">
        <f>IF(INPUT!A438="","",INPUT!A438)</f>
        <v/>
      </c>
      <c r="B438">
        <f>IF(INPUT!B438="","",INPUT!B438)</f>
        <v/>
      </c>
      <c r="C438">
        <f>IF(INPUT!D438="","",INPUT!D438)</f>
        <v/>
      </c>
      <c r="D438">
        <f>IF(INPUT!C438="","",INPUT!C438)</f>
        <v/>
      </c>
      <c r="E438">
        <f>IF(INPUT!E438="","",INPUT!E438)</f>
        <v/>
      </c>
      <c r="F438">
        <f>IF(E438="","",TEXT(E438,"0000000000"))</f>
        <v/>
      </c>
      <c r="G438">
        <f>IF(B438="","",IFERROR(INDEX(DB!$B:$B,MATCH(B438,DB!$A:$A,0)),"-"))</f>
        <v/>
      </c>
      <c r="H438">
        <f>IF(B438="","",IF(G438="-","NEW ITEM",IF(F438=TEXT(G438,"0000000000"),"MATCH","MISMATCH")))</f>
        <v/>
      </c>
      <c r="I438">
        <f>IF(B438="","",IF(G438="-","-",IF(F438&lt;&gt;TEXT(G438,"0000000000"),"CHECK - HS MISMATCH","-")))</f>
        <v/>
      </c>
    </row>
    <row r="439" ht="15" customHeight="1">
      <c r="A439">
        <f>IF(INPUT!A439="","",INPUT!A439)</f>
        <v/>
      </c>
      <c r="B439">
        <f>IF(INPUT!B439="","",INPUT!B439)</f>
        <v/>
      </c>
      <c r="C439">
        <f>IF(INPUT!D439="","",INPUT!D439)</f>
        <v/>
      </c>
      <c r="D439">
        <f>IF(INPUT!C439="","",INPUT!C439)</f>
        <v/>
      </c>
      <c r="E439">
        <f>IF(INPUT!E439="","",INPUT!E439)</f>
        <v/>
      </c>
      <c r="F439">
        <f>IF(E439="","",TEXT(E439,"0000000000"))</f>
        <v/>
      </c>
      <c r="G439">
        <f>IF(B439="","",IFERROR(INDEX(DB!$B:$B,MATCH(B439,DB!$A:$A,0)),"-"))</f>
        <v/>
      </c>
      <c r="H439">
        <f>IF(B439="","",IF(G439="-","NEW ITEM",IF(F439=TEXT(G439,"0000000000"),"MATCH","MISMATCH")))</f>
        <v/>
      </c>
      <c r="I439">
        <f>IF(B439="","",IF(G439="-","-",IF(F439&lt;&gt;TEXT(G439,"0000000000"),"CHECK - HS MISMATCH","-")))</f>
        <v/>
      </c>
    </row>
    <row r="440" ht="15" customHeight="1">
      <c r="A440">
        <f>IF(INPUT!A440="","",INPUT!A440)</f>
        <v/>
      </c>
      <c r="B440">
        <f>IF(INPUT!B440="","",INPUT!B440)</f>
        <v/>
      </c>
      <c r="C440">
        <f>IF(INPUT!D440="","",INPUT!D440)</f>
        <v/>
      </c>
      <c r="D440">
        <f>IF(INPUT!C440="","",INPUT!C440)</f>
        <v/>
      </c>
      <c r="E440">
        <f>IF(INPUT!E440="","",INPUT!E440)</f>
        <v/>
      </c>
      <c r="F440">
        <f>IF(E440="","",TEXT(E440,"0000000000"))</f>
        <v/>
      </c>
      <c r="G440">
        <f>IF(B440="","",IFERROR(INDEX(DB!$B:$B,MATCH(B440,DB!$A:$A,0)),"-"))</f>
        <v/>
      </c>
      <c r="H440">
        <f>IF(B440="","",IF(G440="-","NEW ITEM",IF(F440=TEXT(G440,"0000000000"),"MATCH","MISMATCH")))</f>
        <v/>
      </c>
      <c r="I440">
        <f>IF(B440="","",IF(G440="-","-",IF(F440&lt;&gt;TEXT(G440,"0000000000"),"CHECK - HS MISMATCH","-")))</f>
        <v/>
      </c>
    </row>
    <row r="441" ht="15" customHeight="1">
      <c r="A441">
        <f>IF(INPUT!A441="","",INPUT!A441)</f>
        <v/>
      </c>
      <c r="B441">
        <f>IF(INPUT!B441="","",INPUT!B441)</f>
        <v/>
      </c>
      <c r="C441">
        <f>IF(INPUT!D441="","",INPUT!D441)</f>
        <v/>
      </c>
      <c r="D441">
        <f>IF(INPUT!C441="","",INPUT!C441)</f>
        <v/>
      </c>
      <c r="E441">
        <f>IF(INPUT!E441="","",INPUT!E441)</f>
        <v/>
      </c>
      <c r="F441">
        <f>IF(E441="","",TEXT(E441,"0000000000"))</f>
        <v/>
      </c>
      <c r="G441">
        <f>IF(B441="","",IFERROR(INDEX(DB!$B:$B,MATCH(B441,DB!$A:$A,0)),"-"))</f>
        <v/>
      </c>
      <c r="H441">
        <f>IF(B441="","",IF(G441="-","NEW ITEM",IF(F441=TEXT(G441,"0000000000"),"MATCH","MISMATCH")))</f>
        <v/>
      </c>
      <c r="I441">
        <f>IF(B441="","",IF(G441="-","-",IF(F441&lt;&gt;TEXT(G441,"0000000000"),"CHECK - HS MISMATCH","-")))</f>
        <v/>
      </c>
    </row>
    <row r="442" ht="15" customHeight="1">
      <c r="A442">
        <f>IF(INPUT!A442="","",INPUT!A442)</f>
        <v/>
      </c>
      <c r="B442">
        <f>IF(INPUT!B442="","",INPUT!B442)</f>
        <v/>
      </c>
      <c r="C442">
        <f>IF(INPUT!D442="","",INPUT!D442)</f>
        <v/>
      </c>
      <c r="D442">
        <f>IF(INPUT!C442="","",INPUT!C442)</f>
        <v/>
      </c>
      <c r="E442">
        <f>IF(INPUT!E442="","",INPUT!E442)</f>
        <v/>
      </c>
      <c r="F442">
        <f>IF(E442="","",TEXT(E442,"0000000000"))</f>
        <v/>
      </c>
      <c r="G442">
        <f>IF(B442="","",IFERROR(INDEX(DB!$B:$B,MATCH(B442,DB!$A:$A,0)),"-"))</f>
        <v/>
      </c>
      <c r="H442">
        <f>IF(B442="","",IF(G442="-","NEW ITEM",IF(F442=TEXT(G442,"0000000000"),"MATCH","MISMATCH")))</f>
        <v/>
      </c>
      <c r="I442">
        <f>IF(B442="","",IF(G442="-","-",IF(F442&lt;&gt;TEXT(G442,"0000000000"),"CHECK - HS MISMATCH","-")))</f>
        <v/>
      </c>
    </row>
    <row r="443" ht="15" customHeight="1">
      <c r="A443">
        <f>IF(INPUT!A443="","",INPUT!A443)</f>
        <v/>
      </c>
      <c r="B443">
        <f>IF(INPUT!B443="","",INPUT!B443)</f>
        <v/>
      </c>
      <c r="C443">
        <f>IF(INPUT!D443="","",INPUT!D443)</f>
        <v/>
      </c>
      <c r="D443">
        <f>IF(INPUT!C443="","",INPUT!C443)</f>
        <v/>
      </c>
      <c r="E443">
        <f>IF(INPUT!E443="","",INPUT!E443)</f>
        <v/>
      </c>
      <c r="F443">
        <f>IF(E443="","",TEXT(E443,"0000000000"))</f>
        <v/>
      </c>
      <c r="G443">
        <f>IF(B443="","",IFERROR(INDEX(DB!$B:$B,MATCH(B443,DB!$A:$A,0)),"-"))</f>
        <v/>
      </c>
      <c r="H443">
        <f>IF(B443="","",IF(G443="-","NEW ITEM",IF(F443=TEXT(G443,"0000000000"),"MATCH","MISMATCH")))</f>
        <v/>
      </c>
      <c r="I443">
        <f>IF(B443="","",IF(G443="-","-",IF(F443&lt;&gt;TEXT(G443,"0000000000"),"CHECK - HS MISMATCH","-")))</f>
        <v/>
      </c>
    </row>
    <row r="444" ht="15" customHeight="1">
      <c r="A444">
        <f>IF(INPUT!A444="","",INPUT!A444)</f>
        <v/>
      </c>
      <c r="B444">
        <f>IF(INPUT!B444="","",INPUT!B444)</f>
        <v/>
      </c>
      <c r="C444">
        <f>IF(INPUT!D444="","",INPUT!D444)</f>
        <v/>
      </c>
      <c r="D444">
        <f>IF(INPUT!C444="","",INPUT!C444)</f>
        <v/>
      </c>
      <c r="E444">
        <f>IF(INPUT!E444="","",INPUT!E444)</f>
        <v/>
      </c>
      <c r="F444">
        <f>IF(E444="","",TEXT(E444,"0000000000"))</f>
        <v/>
      </c>
      <c r="G444">
        <f>IF(B444="","",IFERROR(INDEX(DB!$B:$B,MATCH(B444,DB!$A:$A,0)),"-"))</f>
        <v/>
      </c>
      <c r="H444">
        <f>IF(B444="","",IF(G444="-","NEW ITEM",IF(F444=TEXT(G444,"0000000000"),"MATCH","MISMATCH")))</f>
        <v/>
      </c>
      <c r="I444">
        <f>IF(B444="","",IF(G444="-","-",IF(F444&lt;&gt;TEXT(G444,"0000000000"),"CHECK - HS MISMATCH","-")))</f>
        <v/>
      </c>
    </row>
    <row r="445" ht="15" customHeight="1">
      <c r="A445">
        <f>IF(INPUT!A445="","",INPUT!A445)</f>
        <v/>
      </c>
      <c r="B445">
        <f>IF(INPUT!B445="","",INPUT!B445)</f>
        <v/>
      </c>
      <c r="C445">
        <f>IF(INPUT!D445="","",INPUT!D445)</f>
        <v/>
      </c>
      <c r="D445">
        <f>IF(INPUT!C445="","",INPUT!C445)</f>
        <v/>
      </c>
      <c r="E445">
        <f>IF(INPUT!E445="","",INPUT!E445)</f>
        <v/>
      </c>
      <c r="F445">
        <f>IF(E445="","",TEXT(E445,"0000000000"))</f>
        <v/>
      </c>
      <c r="G445">
        <f>IF(B445="","",IFERROR(INDEX(DB!$B:$B,MATCH(B445,DB!$A:$A,0)),"-"))</f>
        <v/>
      </c>
      <c r="H445">
        <f>IF(B445="","",IF(G445="-","NEW ITEM",IF(F445=TEXT(G445,"0000000000"),"MATCH","MISMATCH")))</f>
        <v/>
      </c>
      <c r="I445">
        <f>IF(B445="","",IF(G445="-","-",IF(F445&lt;&gt;TEXT(G445,"0000000000"),"CHECK - HS MISMATCH","-")))</f>
        <v/>
      </c>
    </row>
    <row r="446" ht="15" customHeight="1">
      <c r="A446">
        <f>IF(INPUT!A446="","",INPUT!A446)</f>
        <v/>
      </c>
      <c r="B446">
        <f>IF(INPUT!B446="","",INPUT!B446)</f>
        <v/>
      </c>
      <c r="C446">
        <f>IF(INPUT!D446="","",INPUT!D446)</f>
        <v/>
      </c>
      <c r="D446">
        <f>IF(INPUT!C446="","",INPUT!C446)</f>
        <v/>
      </c>
      <c r="E446">
        <f>IF(INPUT!E446="","",INPUT!E446)</f>
        <v/>
      </c>
      <c r="F446">
        <f>IF(E446="","",TEXT(E446,"0000000000"))</f>
        <v/>
      </c>
      <c r="G446">
        <f>IF(B446="","",IFERROR(INDEX(DB!$B:$B,MATCH(B446,DB!$A:$A,0)),"-"))</f>
        <v/>
      </c>
      <c r="H446">
        <f>IF(B446="","",IF(G446="-","NEW ITEM",IF(F446=TEXT(G446,"0000000000"),"MATCH","MISMATCH")))</f>
        <v/>
      </c>
      <c r="I446">
        <f>IF(B446="","",IF(G446="-","-",IF(F446&lt;&gt;TEXT(G446,"0000000000"),"CHECK - HS MISMATCH","-")))</f>
        <v/>
      </c>
    </row>
    <row r="447" ht="15" customHeight="1">
      <c r="A447">
        <f>IF(INPUT!A447="","",INPUT!A447)</f>
        <v/>
      </c>
      <c r="B447">
        <f>IF(INPUT!B447="","",INPUT!B447)</f>
        <v/>
      </c>
      <c r="C447">
        <f>IF(INPUT!D447="","",INPUT!D447)</f>
        <v/>
      </c>
      <c r="D447">
        <f>IF(INPUT!C447="","",INPUT!C447)</f>
        <v/>
      </c>
      <c r="E447">
        <f>IF(INPUT!E447="","",INPUT!E447)</f>
        <v/>
      </c>
      <c r="F447">
        <f>IF(E447="","",TEXT(E447,"0000000000"))</f>
        <v/>
      </c>
      <c r="G447">
        <f>IF(B447="","",IFERROR(INDEX(DB!$B:$B,MATCH(B447,DB!$A:$A,0)),"-"))</f>
        <v/>
      </c>
      <c r="H447">
        <f>IF(B447="","",IF(G447="-","NEW ITEM",IF(F447=TEXT(G447,"0000000000"),"MATCH","MISMATCH")))</f>
        <v/>
      </c>
      <c r="I447">
        <f>IF(B447="","",IF(G447="-","-",IF(F447&lt;&gt;TEXT(G447,"0000000000"),"CHECK - HS MISMATCH","-")))</f>
        <v/>
      </c>
    </row>
    <row r="448" ht="15" customHeight="1">
      <c r="A448">
        <f>IF(INPUT!A448="","",INPUT!A448)</f>
        <v/>
      </c>
      <c r="B448">
        <f>IF(INPUT!B448="","",INPUT!B448)</f>
        <v/>
      </c>
      <c r="C448">
        <f>IF(INPUT!D448="","",INPUT!D448)</f>
        <v/>
      </c>
      <c r="D448">
        <f>IF(INPUT!C448="","",INPUT!C448)</f>
        <v/>
      </c>
      <c r="E448">
        <f>IF(INPUT!E448="","",INPUT!E448)</f>
        <v/>
      </c>
      <c r="F448">
        <f>IF(E448="","",TEXT(E448,"0000000000"))</f>
        <v/>
      </c>
      <c r="G448">
        <f>IF(B448="","",IFERROR(INDEX(DB!$B:$B,MATCH(B448,DB!$A:$A,0)),"-"))</f>
        <v/>
      </c>
      <c r="H448">
        <f>IF(B448="","",IF(G448="-","NEW ITEM",IF(F448=TEXT(G448,"0000000000"),"MATCH","MISMATCH")))</f>
        <v/>
      </c>
      <c r="I448">
        <f>IF(B448="","",IF(G448="-","-",IF(F448&lt;&gt;TEXT(G448,"0000000000"),"CHECK - HS MISMATCH","-")))</f>
        <v/>
      </c>
    </row>
    <row r="449" ht="15" customHeight="1">
      <c r="A449">
        <f>IF(INPUT!A449="","",INPUT!A449)</f>
        <v/>
      </c>
      <c r="B449">
        <f>IF(INPUT!B449="","",INPUT!B449)</f>
        <v/>
      </c>
      <c r="C449">
        <f>IF(INPUT!D449="","",INPUT!D449)</f>
        <v/>
      </c>
      <c r="D449">
        <f>IF(INPUT!C449="","",INPUT!C449)</f>
        <v/>
      </c>
      <c r="E449">
        <f>IF(INPUT!E449="","",INPUT!E449)</f>
        <v/>
      </c>
      <c r="F449">
        <f>IF(E449="","",TEXT(E449,"0000000000"))</f>
        <v/>
      </c>
      <c r="G449">
        <f>IF(B449="","",IFERROR(INDEX(DB!$B:$B,MATCH(B449,DB!$A:$A,0)),"-"))</f>
        <v/>
      </c>
      <c r="H449">
        <f>IF(B449="","",IF(G449="-","NEW ITEM",IF(F449=TEXT(G449,"0000000000"),"MATCH","MISMATCH")))</f>
        <v/>
      </c>
      <c r="I449">
        <f>IF(B449="","",IF(G449="-","-",IF(F449&lt;&gt;TEXT(G449,"0000000000"),"CHECK - HS MISMATCH","-")))</f>
        <v/>
      </c>
    </row>
    <row r="450" ht="15" customHeight="1">
      <c r="A450">
        <f>IF(INPUT!A450="","",INPUT!A450)</f>
        <v/>
      </c>
      <c r="B450">
        <f>IF(INPUT!B450="","",INPUT!B450)</f>
        <v/>
      </c>
      <c r="C450">
        <f>IF(INPUT!D450="","",INPUT!D450)</f>
        <v/>
      </c>
      <c r="D450">
        <f>IF(INPUT!C450="","",INPUT!C450)</f>
        <v/>
      </c>
      <c r="E450">
        <f>IF(INPUT!E450="","",INPUT!E450)</f>
        <v/>
      </c>
      <c r="F450">
        <f>IF(E450="","",TEXT(E450,"0000000000"))</f>
        <v/>
      </c>
      <c r="G450">
        <f>IF(B450="","",IFERROR(INDEX(DB!$B:$B,MATCH(B450,DB!$A:$A,0)),"-"))</f>
        <v/>
      </c>
      <c r="H450">
        <f>IF(B450="","",IF(G450="-","NEW ITEM",IF(F450=TEXT(G450,"0000000000"),"MATCH","MISMATCH")))</f>
        <v/>
      </c>
      <c r="I450">
        <f>IF(B450="","",IF(G450="-","-",IF(F450&lt;&gt;TEXT(G450,"0000000000"),"CHECK - HS MISMATCH","-")))</f>
        <v/>
      </c>
    </row>
    <row r="451" ht="15" customHeight="1">
      <c r="A451">
        <f>IF(INPUT!A451="","",INPUT!A451)</f>
        <v/>
      </c>
      <c r="B451">
        <f>IF(INPUT!B451="","",INPUT!B451)</f>
        <v/>
      </c>
      <c r="C451">
        <f>IF(INPUT!D451="","",INPUT!D451)</f>
        <v/>
      </c>
      <c r="D451">
        <f>IF(INPUT!C451="","",INPUT!C451)</f>
        <v/>
      </c>
      <c r="E451">
        <f>IF(INPUT!E451="","",INPUT!E451)</f>
        <v/>
      </c>
      <c r="F451">
        <f>IF(E451="","",TEXT(E451,"0000000000"))</f>
        <v/>
      </c>
      <c r="G451">
        <f>IF(B451="","",IFERROR(INDEX(DB!$B:$B,MATCH(B451,DB!$A:$A,0)),"-"))</f>
        <v/>
      </c>
      <c r="H451">
        <f>IF(B451="","",IF(G451="-","NEW ITEM",IF(F451=TEXT(G451,"0000000000"),"MATCH","MISMATCH")))</f>
        <v/>
      </c>
      <c r="I451">
        <f>IF(B451="","",IF(G451="-","-",IF(F451&lt;&gt;TEXT(G451,"0000000000"),"CHECK - HS MISMATCH","-")))</f>
        <v/>
      </c>
    </row>
    <row r="452" ht="15" customHeight="1">
      <c r="A452">
        <f>IF(INPUT!A452="","",INPUT!A452)</f>
        <v/>
      </c>
      <c r="B452">
        <f>IF(INPUT!B452="","",INPUT!B452)</f>
        <v/>
      </c>
      <c r="C452">
        <f>IF(INPUT!D452="","",INPUT!D452)</f>
        <v/>
      </c>
      <c r="D452">
        <f>IF(INPUT!C452="","",INPUT!C452)</f>
        <v/>
      </c>
      <c r="E452">
        <f>IF(INPUT!E452="","",INPUT!E452)</f>
        <v/>
      </c>
      <c r="F452">
        <f>IF(E452="","",TEXT(E452,"0000000000"))</f>
        <v/>
      </c>
      <c r="G452">
        <f>IF(B452="","",IFERROR(INDEX(DB!$B:$B,MATCH(B452,DB!$A:$A,0)),"-"))</f>
        <v/>
      </c>
      <c r="H452">
        <f>IF(B452="","",IF(G452="-","NEW ITEM",IF(F452=TEXT(G452,"0000000000"),"MATCH","MISMATCH")))</f>
        <v/>
      </c>
      <c r="I452">
        <f>IF(B452="","",IF(G452="-","-",IF(F452&lt;&gt;TEXT(G452,"0000000000"),"CHECK - HS MISMATCH","-")))</f>
        <v/>
      </c>
    </row>
    <row r="453" ht="15" customHeight="1">
      <c r="A453">
        <f>IF(INPUT!A453="","",INPUT!A453)</f>
        <v/>
      </c>
      <c r="B453">
        <f>IF(INPUT!B453="","",INPUT!B453)</f>
        <v/>
      </c>
      <c r="C453">
        <f>IF(INPUT!D453="","",INPUT!D453)</f>
        <v/>
      </c>
      <c r="D453">
        <f>IF(INPUT!C453="","",INPUT!C453)</f>
        <v/>
      </c>
      <c r="E453">
        <f>IF(INPUT!E453="","",INPUT!E453)</f>
        <v/>
      </c>
      <c r="F453">
        <f>IF(E453="","",TEXT(E453,"0000000000"))</f>
        <v/>
      </c>
      <c r="G453">
        <f>IF(B453="","",IFERROR(INDEX(DB!$B:$B,MATCH(B453,DB!$A:$A,0)),"-"))</f>
        <v/>
      </c>
      <c r="H453">
        <f>IF(B453="","",IF(G453="-","NEW ITEM",IF(F453=TEXT(G453,"0000000000"),"MATCH","MISMATCH")))</f>
        <v/>
      </c>
      <c r="I453">
        <f>IF(B453="","",IF(G453="-","-",IF(F453&lt;&gt;TEXT(G453,"0000000000"),"CHECK - HS MISMATCH","-")))</f>
        <v/>
      </c>
    </row>
    <row r="454" ht="15" customHeight="1">
      <c r="A454">
        <f>IF(INPUT!A454="","",INPUT!A454)</f>
        <v/>
      </c>
      <c r="B454">
        <f>IF(INPUT!B454="","",INPUT!B454)</f>
        <v/>
      </c>
      <c r="C454">
        <f>IF(INPUT!D454="","",INPUT!D454)</f>
        <v/>
      </c>
      <c r="D454">
        <f>IF(INPUT!C454="","",INPUT!C454)</f>
        <v/>
      </c>
      <c r="E454">
        <f>IF(INPUT!E454="","",INPUT!E454)</f>
        <v/>
      </c>
      <c r="F454">
        <f>IF(E454="","",TEXT(E454,"0000000000"))</f>
        <v/>
      </c>
      <c r="G454">
        <f>IF(B454="","",IFERROR(INDEX(DB!$B:$B,MATCH(B454,DB!$A:$A,0)),"-"))</f>
        <v/>
      </c>
      <c r="H454">
        <f>IF(B454="","",IF(G454="-","NEW ITEM",IF(F454=TEXT(G454,"0000000000"),"MATCH","MISMATCH")))</f>
        <v/>
      </c>
      <c r="I454">
        <f>IF(B454="","",IF(G454="-","-",IF(F454&lt;&gt;TEXT(G454,"0000000000"),"CHECK - HS MISMATCH","-")))</f>
        <v/>
      </c>
    </row>
    <row r="455" ht="15" customHeight="1">
      <c r="A455">
        <f>IF(INPUT!A455="","",INPUT!A455)</f>
        <v/>
      </c>
      <c r="B455">
        <f>IF(INPUT!B455="","",INPUT!B455)</f>
        <v/>
      </c>
      <c r="C455">
        <f>IF(INPUT!D455="","",INPUT!D455)</f>
        <v/>
      </c>
      <c r="D455">
        <f>IF(INPUT!C455="","",INPUT!C455)</f>
        <v/>
      </c>
      <c r="E455">
        <f>IF(INPUT!E455="","",INPUT!E455)</f>
        <v/>
      </c>
      <c r="F455">
        <f>IF(E455="","",TEXT(E455,"0000000000"))</f>
        <v/>
      </c>
      <c r="G455">
        <f>IF(B455="","",IFERROR(INDEX(DB!$B:$B,MATCH(B455,DB!$A:$A,0)),"-"))</f>
        <v/>
      </c>
      <c r="H455">
        <f>IF(B455="","",IF(G455="-","NEW ITEM",IF(F455=TEXT(G455,"0000000000"),"MATCH","MISMATCH")))</f>
        <v/>
      </c>
      <c r="I455">
        <f>IF(B455="","",IF(G455="-","-",IF(F455&lt;&gt;TEXT(G455,"0000000000"),"CHECK - HS MISMATCH","-")))</f>
        <v/>
      </c>
    </row>
    <row r="456" ht="15" customHeight="1">
      <c r="A456">
        <f>IF(INPUT!A456="","",INPUT!A456)</f>
        <v/>
      </c>
      <c r="B456">
        <f>IF(INPUT!B456="","",INPUT!B456)</f>
        <v/>
      </c>
      <c r="C456">
        <f>IF(INPUT!D456="","",INPUT!D456)</f>
        <v/>
      </c>
      <c r="D456">
        <f>IF(INPUT!C456="","",INPUT!C456)</f>
        <v/>
      </c>
      <c r="E456">
        <f>IF(INPUT!E456="","",INPUT!E456)</f>
        <v/>
      </c>
      <c r="F456">
        <f>IF(E456="","",TEXT(E456,"0000000000"))</f>
        <v/>
      </c>
      <c r="G456">
        <f>IF(B456="","",IFERROR(INDEX(DB!$B:$B,MATCH(B456,DB!$A:$A,0)),"-"))</f>
        <v/>
      </c>
      <c r="H456">
        <f>IF(B456="","",IF(G456="-","NEW ITEM",IF(F456=TEXT(G456,"0000000000"),"MATCH","MISMATCH")))</f>
        <v/>
      </c>
      <c r="I456">
        <f>IF(B456="","",IF(G456="-","-",IF(F456&lt;&gt;TEXT(G456,"0000000000"),"CHECK - HS MISMATCH","-")))</f>
        <v/>
      </c>
    </row>
    <row r="457" ht="15" customHeight="1">
      <c r="A457">
        <f>IF(INPUT!A457="","",INPUT!A457)</f>
        <v/>
      </c>
      <c r="B457">
        <f>IF(INPUT!B457="","",INPUT!B457)</f>
        <v/>
      </c>
      <c r="C457">
        <f>IF(INPUT!D457="","",INPUT!D457)</f>
        <v/>
      </c>
      <c r="D457">
        <f>IF(INPUT!C457="","",INPUT!C457)</f>
        <v/>
      </c>
      <c r="E457">
        <f>IF(INPUT!E457="","",INPUT!E457)</f>
        <v/>
      </c>
      <c r="F457">
        <f>IF(E457="","",TEXT(E457,"0000000000"))</f>
        <v/>
      </c>
      <c r="G457">
        <f>IF(B457="","",IFERROR(INDEX(DB!$B:$B,MATCH(B457,DB!$A:$A,0)),"-"))</f>
        <v/>
      </c>
      <c r="H457">
        <f>IF(B457="","",IF(G457="-","NEW ITEM",IF(F457=TEXT(G457,"0000000000"),"MATCH","MISMATCH")))</f>
        <v/>
      </c>
      <c r="I457">
        <f>IF(B457="","",IF(G457="-","-",IF(F457&lt;&gt;TEXT(G457,"0000000000"),"CHECK - HS MISMATCH","-")))</f>
        <v/>
      </c>
    </row>
    <row r="458" ht="15" customHeight="1">
      <c r="A458">
        <f>IF(INPUT!A458="","",INPUT!A458)</f>
        <v/>
      </c>
      <c r="B458">
        <f>IF(INPUT!B458="","",INPUT!B458)</f>
        <v/>
      </c>
      <c r="C458">
        <f>IF(INPUT!D458="","",INPUT!D458)</f>
        <v/>
      </c>
      <c r="D458">
        <f>IF(INPUT!C458="","",INPUT!C458)</f>
        <v/>
      </c>
      <c r="E458">
        <f>IF(INPUT!E458="","",INPUT!E458)</f>
        <v/>
      </c>
      <c r="F458">
        <f>IF(E458="","",TEXT(E458,"0000000000"))</f>
        <v/>
      </c>
      <c r="G458">
        <f>IF(B458="","",IFERROR(INDEX(DB!$B:$B,MATCH(B458,DB!$A:$A,0)),"-"))</f>
        <v/>
      </c>
      <c r="H458">
        <f>IF(B458="","",IF(G458="-","NEW ITEM",IF(F458=TEXT(G458,"0000000000"),"MATCH","MISMATCH")))</f>
        <v/>
      </c>
      <c r="I458">
        <f>IF(B458="","",IF(G458="-","-",IF(F458&lt;&gt;TEXT(G458,"0000000000"),"CHECK - HS MISMATCH","-")))</f>
        <v/>
      </c>
    </row>
    <row r="459" ht="15" customHeight="1">
      <c r="A459">
        <f>IF(INPUT!A459="","",INPUT!A459)</f>
        <v/>
      </c>
      <c r="B459">
        <f>IF(INPUT!B459="","",INPUT!B459)</f>
        <v/>
      </c>
      <c r="C459">
        <f>IF(INPUT!D459="","",INPUT!D459)</f>
        <v/>
      </c>
      <c r="D459">
        <f>IF(INPUT!C459="","",INPUT!C459)</f>
        <v/>
      </c>
      <c r="E459">
        <f>IF(INPUT!E459="","",INPUT!E459)</f>
        <v/>
      </c>
      <c r="F459">
        <f>IF(E459="","",TEXT(E459,"0000000000"))</f>
        <v/>
      </c>
      <c r="G459">
        <f>IF(B459="","",IFERROR(INDEX(DB!$B:$B,MATCH(B459,DB!$A:$A,0)),"-"))</f>
        <v/>
      </c>
      <c r="H459">
        <f>IF(B459="","",IF(G459="-","NEW ITEM",IF(F459=TEXT(G459,"0000000000"),"MATCH","MISMATCH")))</f>
        <v/>
      </c>
      <c r="I459">
        <f>IF(B459="","",IF(G459="-","-",IF(F459&lt;&gt;TEXT(G459,"0000000000"),"CHECK - HS MISMATCH","-")))</f>
        <v/>
      </c>
    </row>
    <row r="460" ht="15" customHeight="1">
      <c r="A460">
        <f>IF(INPUT!A460="","",INPUT!A460)</f>
        <v/>
      </c>
      <c r="B460">
        <f>IF(INPUT!B460="","",INPUT!B460)</f>
        <v/>
      </c>
      <c r="C460">
        <f>IF(INPUT!D460="","",INPUT!D460)</f>
        <v/>
      </c>
      <c r="D460">
        <f>IF(INPUT!C460="","",INPUT!C460)</f>
        <v/>
      </c>
      <c r="E460">
        <f>IF(INPUT!E460="","",INPUT!E460)</f>
        <v/>
      </c>
      <c r="F460">
        <f>IF(E460="","",TEXT(E460,"0000000000"))</f>
        <v/>
      </c>
      <c r="G460">
        <f>IF(B460="","",IFERROR(INDEX(DB!$B:$B,MATCH(B460,DB!$A:$A,0)),"-"))</f>
        <v/>
      </c>
      <c r="H460">
        <f>IF(B460="","",IF(G460="-","NEW ITEM",IF(F460=TEXT(G460,"0000000000"),"MATCH","MISMATCH")))</f>
        <v/>
      </c>
      <c r="I460">
        <f>IF(B460="","",IF(G460="-","-",IF(F460&lt;&gt;TEXT(G460,"0000000000"),"CHECK - HS MISMATCH","-")))</f>
        <v/>
      </c>
    </row>
    <row r="461" ht="15" customHeight="1">
      <c r="A461">
        <f>IF(INPUT!A461="","",INPUT!A461)</f>
        <v/>
      </c>
      <c r="B461">
        <f>IF(INPUT!B461="","",INPUT!B461)</f>
        <v/>
      </c>
      <c r="C461">
        <f>IF(INPUT!D461="","",INPUT!D461)</f>
        <v/>
      </c>
      <c r="D461">
        <f>IF(INPUT!C461="","",INPUT!C461)</f>
        <v/>
      </c>
      <c r="E461">
        <f>IF(INPUT!E461="","",INPUT!E461)</f>
        <v/>
      </c>
      <c r="F461">
        <f>IF(E461="","",TEXT(E461,"0000000000"))</f>
        <v/>
      </c>
      <c r="G461">
        <f>IF(B461="","",IFERROR(INDEX(DB!$B:$B,MATCH(B461,DB!$A:$A,0)),"-"))</f>
        <v/>
      </c>
      <c r="H461">
        <f>IF(B461="","",IF(G461="-","NEW ITEM",IF(F461=TEXT(G461,"0000000000"),"MATCH","MISMATCH")))</f>
        <v/>
      </c>
      <c r="I461">
        <f>IF(B461="","",IF(G461="-","-",IF(F461&lt;&gt;TEXT(G461,"0000000000"),"CHECK - HS MISMATCH","-")))</f>
        <v/>
      </c>
    </row>
    <row r="462" ht="15" customHeight="1">
      <c r="A462">
        <f>IF(INPUT!A462="","",INPUT!A462)</f>
        <v/>
      </c>
      <c r="B462">
        <f>IF(INPUT!B462="","",INPUT!B462)</f>
        <v/>
      </c>
      <c r="C462">
        <f>IF(INPUT!D462="","",INPUT!D462)</f>
        <v/>
      </c>
      <c r="D462">
        <f>IF(INPUT!C462="","",INPUT!C462)</f>
        <v/>
      </c>
      <c r="E462">
        <f>IF(INPUT!E462="","",INPUT!E462)</f>
        <v/>
      </c>
      <c r="F462">
        <f>IF(E462="","",TEXT(E462,"0000000000"))</f>
        <v/>
      </c>
      <c r="G462">
        <f>IF(B462="","",IFERROR(INDEX(DB!$B:$B,MATCH(B462,DB!$A:$A,0)),"-"))</f>
        <v/>
      </c>
      <c r="H462">
        <f>IF(B462="","",IF(G462="-","NEW ITEM",IF(F462=TEXT(G462,"0000000000"),"MATCH","MISMATCH")))</f>
        <v/>
      </c>
      <c r="I462">
        <f>IF(B462="","",IF(G462="-","-",IF(F462&lt;&gt;TEXT(G462,"0000000000"),"CHECK - HS MISMATCH","-")))</f>
        <v/>
      </c>
    </row>
    <row r="463" ht="15" customHeight="1">
      <c r="A463">
        <f>IF(INPUT!A463="","",INPUT!A463)</f>
        <v/>
      </c>
      <c r="B463">
        <f>IF(INPUT!B463="","",INPUT!B463)</f>
        <v/>
      </c>
      <c r="C463">
        <f>IF(INPUT!D463="","",INPUT!D463)</f>
        <v/>
      </c>
      <c r="D463">
        <f>IF(INPUT!C463="","",INPUT!C463)</f>
        <v/>
      </c>
      <c r="E463">
        <f>IF(INPUT!E463="","",INPUT!E463)</f>
        <v/>
      </c>
      <c r="F463">
        <f>IF(E463="","",TEXT(E463,"0000000000"))</f>
        <v/>
      </c>
      <c r="G463">
        <f>IF(B463="","",IFERROR(INDEX(DB!$B:$B,MATCH(B463,DB!$A:$A,0)),"-"))</f>
        <v/>
      </c>
      <c r="H463">
        <f>IF(B463="","",IF(G463="-","NEW ITEM",IF(F463=TEXT(G463,"0000000000"),"MATCH","MISMATCH")))</f>
        <v/>
      </c>
      <c r="I463">
        <f>IF(B463="","",IF(G463="-","-",IF(F463&lt;&gt;TEXT(G463,"0000000000"),"CHECK - HS MISMATCH","-")))</f>
        <v/>
      </c>
    </row>
    <row r="464" ht="15" customHeight="1">
      <c r="A464">
        <f>IF(INPUT!A464="","",INPUT!A464)</f>
        <v/>
      </c>
      <c r="B464">
        <f>IF(INPUT!B464="","",INPUT!B464)</f>
        <v/>
      </c>
      <c r="C464">
        <f>IF(INPUT!D464="","",INPUT!D464)</f>
        <v/>
      </c>
      <c r="D464">
        <f>IF(INPUT!C464="","",INPUT!C464)</f>
        <v/>
      </c>
      <c r="E464">
        <f>IF(INPUT!E464="","",INPUT!E464)</f>
        <v/>
      </c>
      <c r="F464">
        <f>IF(E464="","",TEXT(E464,"0000000000"))</f>
        <v/>
      </c>
      <c r="G464">
        <f>IF(B464="","",IFERROR(INDEX(DB!$B:$B,MATCH(B464,DB!$A:$A,0)),"-"))</f>
        <v/>
      </c>
      <c r="H464">
        <f>IF(B464="","",IF(G464="-","NEW ITEM",IF(F464=TEXT(G464,"0000000000"),"MATCH","MISMATCH")))</f>
        <v/>
      </c>
      <c r="I464">
        <f>IF(B464="","",IF(G464="-","-",IF(F464&lt;&gt;TEXT(G464,"0000000000"),"CHECK - HS MISMATCH","-")))</f>
        <v/>
      </c>
    </row>
    <row r="465" ht="15" customHeight="1">
      <c r="A465">
        <f>IF(INPUT!A465="","",INPUT!A465)</f>
        <v/>
      </c>
      <c r="B465">
        <f>IF(INPUT!B465="","",INPUT!B465)</f>
        <v/>
      </c>
      <c r="C465">
        <f>IF(INPUT!D465="","",INPUT!D465)</f>
        <v/>
      </c>
      <c r="D465">
        <f>IF(INPUT!C465="","",INPUT!C465)</f>
        <v/>
      </c>
      <c r="E465">
        <f>IF(INPUT!E465="","",INPUT!E465)</f>
        <v/>
      </c>
      <c r="F465">
        <f>IF(E465="","",TEXT(E465,"0000000000"))</f>
        <v/>
      </c>
      <c r="G465">
        <f>IF(B465="","",IFERROR(INDEX(DB!$B:$B,MATCH(B465,DB!$A:$A,0)),"-"))</f>
        <v/>
      </c>
      <c r="H465">
        <f>IF(B465="","",IF(G465="-","NEW ITEM",IF(F465=TEXT(G465,"0000000000"),"MATCH","MISMATCH")))</f>
        <v/>
      </c>
      <c r="I465">
        <f>IF(B465="","",IF(G465="-","-",IF(F465&lt;&gt;TEXT(G465,"0000000000"),"CHECK - HS MISMATCH","-")))</f>
        <v/>
      </c>
    </row>
    <row r="466" ht="15" customHeight="1">
      <c r="A466">
        <f>IF(INPUT!A466="","",INPUT!A466)</f>
        <v/>
      </c>
      <c r="B466">
        <f>IF(INPUT!B466="","",INPUT!B466)</f>
        <v/>
      </c>
      <c r="C466">
        <f>IF(INPUT!D466="","",INPUT!D466)</f>
        <v/>
      </c>
      <c r="D466">
        <f>IF(INPUT!C466="","",INPUT!C466)</f>
        <v/>
      </c>
      <c r="E466">
        <f>IF(INPUT!E466="","",INPUT!E466)</f>
        <v/>
      </c>
      <c r="F466">
        <f>IF(E466="","",TEXT(E466,"0000000000"))</f>
        <v/>
      </c>
      <c r="G466">
        <f>IF(B466="","",IFERROR(INDEX(DB!$B:$B,MATCH(B466,DB!$A:$A,0)),"-"))</f>
        <v/>
      </c>
      <c r="H466">
        <f>IF(B466="","",IF(G466="-","NEW ITEM",IF(F466=TEXT(G466,"0000000000"),"MATCH","MISMATCH")))</f>
        <v/>
      </c>
      <c r="I466">
        <f>IF(B466="","",IF(G466="-","-",IF(F466&lt;&gt;TEXT(G466,"0000000000"),"CHECK - HS MISMATCH","-")))</f>
        <v/>
      </c>
    </row>
    <row r="467" ht="15" customHeight="1">
      <c r="A467">
        <f>IF(INPUT!A467="","",INPUT!A467)</f>
        <v/>
      </c>
      <c r="B467">
        <f>IF(INPUT!B467="","",INPUT!B467)</f>
        <v/>
      </c>
      <c r="C467">
        <f>IF(INPUT!D467="","",INPUT!D467)</f>
        <v/>
      </c>
      <c r="D467">
        <f>IF(INPUT!C467="","",INPUT!C467)</f>
        <v/>
      </c>
      <c r="E467">
        <f>IF(INPUT!E467="","",INPUT!E467)</f>
        <v/>
      </c>
      <c r="F467">
        <f>IF(E467="","",TEXT(E467,"0000000000"))</f>
        <v/>
      </c>
      <c r="G467">
        <f>IF(B467="","",IFERROR(INDEX(DB!$B:$B,MATCH(B467,DB!$A:$A,0)),"-"))</f>
        <v/>
      </c>
      <c r="H467">
        <f>IF(B467="","",IF(G467="-","NEW ITEM",IF(F467=TEXT(G467,"0000000000"),"MATCH","MISMATCH")))</f>
        <v/>
      </c>
      <c r="I467">
        <f>IF(B467="","",IF(G467="-","-",IF(F467&lt;&gt;TEXT(G467,"0000000000"),"CHECK - HS MISMATCH","-")))</f>
        <v/>
      </c>
    </row>
    <row r="468" ht="15" customHeight="1">
      <c r="A468">
        <f>IF(INPUT!A468="","",INPUT!A468)</f>
        <v/>
      </c>
      <c r="B468">
        <f>IF(INPUT!B468="","",INPUT!B468)</f>
        <v/>
      </c>
      <c r="C468">
        <f>IF(INPUT!D468="","",INPUT!D468)</f>
        <v/>
      </c>
      <c r="D468">
        <f>IF(INPUT!C468="","",INPUT!C468)</f>
        <v/>
      </c>
      <c r="E468">
        <f>IF(INPUT!E468="","",INPUT!E468)</f>
        <v/>
      </c>
      <c r="F468">
        <f>IF(E468="","",TEXT(E468,"0000000000"))</f>
        <v/>
      </c>
      <c r="G468">
        <f>IF(B468="","",IFERROR(INDEX(DB!$B:$B,MATCH(B468,DB!$A:$A,0)),"-"))</f>
        <v/>
      </c>
      <c r="H468">
        <f>IF(B468="","",IF(G468="-","NEW ITEM",IF(F468=TEXT(G468,"0000000000"),"MATCH","MISMATCH")))</f>
        <v/>
      </c>
      <c r="I468">
        <f>IF(B468="","",IF(G468="-","-",IF(F468&lt;&gt;TEXT(G468,"0000000000"),"CHECK - HS MISMATCH","-")))</f>
        <v/>
      </c>
    </row>
    <row r="469" ht="15" customHeight="1">
      <c r="A469">
        <f>IF(INPUT!A469="","",INPUT!A469)</f>
        <v/>
      </c>
      <c r="B469">
        <f>IF(INPUT!B469="","",INPUT!B469)</f>
        <v/>
      </c>
      <c r="C469">
        <f>IF(INPUT!D469="","",INPUT!D469)</f>
        <v/>
      </c>
      <c r="D469">
        <f>IF(INPUT!C469="","",INPUT!C469)</f>
        <v/>
      </c>
      <c r="E469">
        <f>IF(INPUT!E469="","",INPUT!E469)</f>
        <v/>
      </c>
      <c r="F469">
        <f>IF(E469="","",TEXT(E469,"0000000000"))</f>
        <v/>
      </c>
      <c r="G469">
        <f>IF(B469="","",IFERROR(INDEX(DB!$B:$B,MATCH(B469,DB!$A:$A,0)),"-"))</f>
        <v/>
      </c>
      <c r="H469">
        <f>IF(B469="","",IF(G469="-","NEW ITEM",IF(F469=TEXT(G469,"0000000000"),"MATCH","MISMATCH")))</f>
        <v/>
      </c>
      <c r="I469">
        <f>IF(B469="","",IF(G469="-","-",IF(F469&lt;&gt;TEXT(G469,"0000000000"),"CHECK - HS MISMATCH","-")))</f>
        <v/>
      </c>
    </row>
    <row r="470" ht="15" customHeight="1">
      <c r="A470">
        <f>IF(INPUT!A470="","",INPUT!A470)</f>
        <v/>
      </c>
      <c r="B470">
        <f>IF(INPUT!B470="","",INPUT!B470)</f>
        <v/>
      </c>
      <c r="C470">
        <f>IF(INPUT!D470="","",INPUT!D470)</f>
        <v/>
      </c>
      <c r="D470">
        <f>IF(INPUT!C470="","",INPUT!C470)</f>
        <v/>
      </c>
      <c r="E470">
        <f>IF(INPUT!E470="","",INPUT!E470)</f>
        <v/>
      </c>
      <c r="F470">
        <f>IF(E470="","",TEXT(E470,"0000000000"))</f>
        <v/>
      </c>
      <c r="G470">
        <f>IF(B470="","",IFERROR(INDEX(DB!$B:$B,MATCH(B470,DB!$A:$A,0)),"-"))</f>
        <v/>
      </c>
      <c r="H470">
        <f>IF(B470="","",IF(G470="-","NEW ITEM",IF(F470=TEXT(G470,"0000000000"),"MATCH","MISMATCH")))</f>
        <v/>
      </c>
      <c r="I470">
        <f>IF(B470="","",IF(G470="-","-",IF(F470&lt;&gt;TEXT(G470,"0000000000"),"CHECK - HS MISMATCH","-")))</f>
        <v/>
      </c>
    </row>
    <row r="471" ht="15" customHeight="1">
      <c r="A471">
        <f>IF(INPUT!A471="","",INPUT!A471)</f>
        <v/>
      </c>
      <c r="B471">
        <f>IF(INPUT!B471="","",INPUT!B471)</f>
        <v/>
      </c>
      <c r="C471">
        <f>IF(INPUT!D471="","",INPUT!D471)</f>
        <v/>
      </c>
      <c r="D471">
        <f>IF(INPUT!C471="","",INPUT!C471)</f>
        <v/>
      </c>
      <c r="E471">
        <f>IF(INPUT!E471="","",INPUT!E471)</f>
        <v/>
      </c>
      <c r="F471">
        <f>IF(E471="","",TEXT(E471,"0000000000"))</f>
        <v/>
      </c>
      <c r="G471">
        <f>IF(B471="","",IFERROR(INDEX(DB!$B:$B,MATCH(B471,DB!$A:$A,0)),"-"))</f>
        <v/>
      </c>
      <c r="H471">
        <f>IF(B471="","",IF(G471="-","NEW ITEM",IF(F471=TEXT(G471,"0000000000"),"MATCH","MISMATCH")))</f>
        <v/>
      </c>
      <c r="I471">
        <f>IF(B471="","",IF(G471="-","-",IF(F471&lt;&gt;TEXT(G471,"0000000000"),"CHECK - HS MISMATCH","-")))</f>
        <v/>
      </c>
    </row>
    <row r="472" ht="15" customHeight="1">
      <c r="A472">
        <f>IF(INPUT!A472="","",INPUT!A472)</f>
        <v/>
      </c>
      <c r="B472">
        <f>IF(INPUT!B472="","",INPUT!B472)</f>
        <v/>
      </c>
      <c r="C472">
        <f>IF(INPUT!D472="","",INPUT!D472)</f>
        <v/>
      </c>
      <c r="D472">
        <f>IF(INPUT!C472="","",INPUT!C472)</f>
        <v/>
      </c>
      <c r="E472">
        <f>IF(INPUT!E472="","",INPUT!E472)</f>
        <v/>
      </c>
      <c r="F472">
        <f>IF(E472="","",TEXT(E472,"0000000000"))</f>
        <v/>
      </c>
      <c r="G472">
        <f>IF(B472="","",IFERROR(INDEX(DB!$B:$B,MATCH(B472,DB!$A:$A,0)),"-"))</f>
        <v/>
      </c>
      <c r="H472">
        <f>IF(B472="","",IF(G472="-","NEW ITEM",IF(F472=TEXT(G472,"0000000000"),"MATCH","MISMATCH")))</f>
        <v/>
      </c>
      <c r="I472">
        <f>IF(B472="","",IF(G472="-","-",IF(F472&lt;&gt;TEXT(G472,"0000000000"),"CHECK - HS MISMATCH","-")))</f>
        <v/>
      </c>
    </row>
    <row r="473" ht="15" customHeight="1">
      <c r="A473">
        <f>IF(INPUT!A473="","",INPUT!A473)</f>
        <v/>
      </c>
      <c r="B473">
        <f>IF(INPUT!B473="","",INPUT!B473)</f>
        <v/>
      </c>
      <c r="C473">
        <f>IF(INPUT!D473="","",INPUT!D473)</f>
        <v/>
      </c>
      <c r="D473">
        <f>IF(INPUT!C473="","",INPUT!C473)</f>
        <v/>
      </c>
      <c r="E473">
        <f>IF(INPUT!E473="","",INPUT!E473)</f>
        <v/>
      </c>
      <c r="F473">
        <f>IF(E473="","",TEXT(E473,"0000000000"))</f>
        <v/>
      </c>
      <c r="G473">
        <f>IF(B473="","",IFERROR(INDEX(DB!$B:$B,MATCH(B473,DB!$A:$A,0)),"-"))</f>
        <v/>
      </c>
      <c r="H473">
        <f>IF(B473="","",IF(G473="-","NEW ITEM",IF(F473=TEXT(G473,"0000000000"),"MATCH","MISMATCH")))</f>
        <v/>
      </c>
      <c r="I473">
        <f>IF(B473="","",IF(G473="-","-",IF(F473&lt;&gt;TEXT(G473,"0000000000"),"CHECK - HS MISMATCH","-")))</f>
        <v/>
      </c>
    </row>
    <row r="474" ht="15" customHeight="1">
      <c r="A474">
        <f>IF(INPUT!A474="","",INPUT!A474)</f>
        <v/>
      </c>
      <c r="B474">
        <f>IF(INPUT!B474="","",INPUT!B474)</f>
        <v/>
      </c>
      <c r="C474">
        <f>IF(INPUT!D474="","",INPUT!D474)</f>
        <v/>
      </c>
      <c r="D474">
        <f>IF(INPUT!C474="","",INPUT!C474)</f>
        <v/>
      </c>
      <c r="E474">
        <f>IF(INPUT!E474="","",INPUT!E474)</f>
        <v/>
      </c>
      <c r="F474">
        <f>IF(E474="","",TEXT(E474,"0000000000"))</f>
        <v/>
      </c>
      <c r="G474">
        <f>IF(B474="","",IFERROR(INDEX(DB!$B:$B,MATCH(B474,DB!$A:$A,0)),"-"))</f>
        <v/>
      </c>
      <c r="H474">
        <f>IF(B474="","",IF(G474="-","NEW ITEM",IF(F474=TEXT(G474,"0000000000"),"MATCH","MISMATCH")))</f>
        <v/>
      </c>
      <c r="I474">
        <f>IF(B474="","",IF(G474="-","-",IF(F474&lt;&gt;TEXT(G474,"0000000000"),"CHECK - HS MISMATCH","-")))</f>
        <v/>
      </c>
    </row>
    <row r="475" ht="15" customHeight="1">
      <c r="A475">
        <f>IF(INPUT!A475="","",INPUT!A475)</f>
        <v/>
      </c>
      <c r="B475">
        <f>IF(INPUT!B475="","",INPUT!B475)</f>
        <v/>
      </c>
      <c r="C475">
        <f>IF(INPUT!D475="","",INPUT!D475)</f>
        <v/>
      </c>
      <c r="D475">
        <f>IF(INPUT!C475="","",INPUT!C475)</f>
        <v/>
      </c>
      <c r="E475">
        <f>IF(INPUT!E475="","",INPUT!E475)</f>
        <v/>
      </c>
      <c r="F475">
        <f>IF(E475="","",TEXT(E475,"0000000000"))</f>
        <v/>
      </c>
      <c r="G475">
        <f>IF(B475="","",IFERROR(INDEX(DB!$B:$B,MATCH(B475,DB!$A:$A,0)),"-"))</f>
        <v/>
      </c>
      <c r="H475">
        <f>IF(B475="","",IF(G475="-","NEW ITEM",IF(F475=TEXT(G475,"0000000000"),"MATCH","MISMATCH")))</f>
        <v/>
      </c>
      <c r="I475">
        <f>IF(B475="","",IF(G475="-","-",IF(F475&lt;&gt;TEXT(G475,"0000000000"),"CHECK - HS MISMATCH","-")))</f>
        <v/>
      </c>
    </row>
    <row r="476" ht="15" customHeight="1">
      <c r="A476">
        <f>IF(INPUT!A476="","",INPUT!A476)</f>
        <v/>
      </c>
      <c r="B476">
        <f>IF(INPUT!B476="","",INPUT!B476)</f>
        <v/>
      </c>
      <c r="C476">
        <f>IF(INPUT!D476="","",INPUT!D476)</f>
        <v/>
      </c>
      <c r="D476">
        <f>IF(INPUT!C476="","",INPUT!C476)</f>
        <v/>
      </c>
      <c r="E476">
        <f>IF(INPUT!E476="","",INPUT!E476)</f>
        <v/>
      </c>
      <c r="F476">
        <f>IF(E476="","",TEXT(E476,"0000000000"))</f>
        <v/>
      </c>
      <c r="G476">
        <f>IF(B476="","",IFERROR(INDEX(DB!$B:$B,MATCH(B476,DB!$A:$A,0)),"-"))</f>
        <v/>
      </c>
      <c r="H476">
        <f>IF(B476="","",IF(G476="-","NEW ITEM",IF(F476=TEXT(G476,"0000000000"),"MATCH","MISMATCH")))</f>
        <v/>
      </c>
      <c r="I476">
        <f>IF(B476="","",IF(G476="-","-",IF(F476&lt;&gt;TEXT(G476,"0000000000"),"CHECK - HS MISMATCH","-")))</f>
        <v/>
      </c>
    </row>
    <row r="477" ht="15" customHeight="1">
      <c r="A477">
        <f>IF(INPUT!A477="","",INPUT!A477)</f>
        <v/>
      </c>
      <c r="B477">
        <f>IF(INPUT!B477="","",INPUT!B477)</f>
        <v/>
      </c>
      <c r="C477">
        <f>IF(INPUT!D477="","",INPUT!D477)</f>
        <v/>
      </c>
      <c r="D477">
        <f>IF(INPUT!C477="","",INPUT!C477)</f>
        <v/>
      </c>
      <c r="E477">
        <f>IF(INPUT!E477="","",INPUT!E477)</f>
        <v/>
      </c>
      <c r="F477">
        <f>IF(E477="","",TEXT(E477,"0000000000"))</f>
        <v/>
      </c>
      <c r="G477">
        <f>IF(B477="","",IFERROR(INDEX(DB!$B:$B,MATCH(B477,DB!$A:$A,0)),"-"))</f>
        <v/>
      </c>
      <c r="H477">
        <f>IF(B477="","",IF(G477="-","NEW ITEM",IF(F477=TEXT(G477,"0000000000"),"MATCH","MISMATCH")))</f>
        <v/>
      </c>
      <c r="I477">
        <f>IF(B477="","",IF(G477="-","-",IF(F477&lt;&gt;TEXT(G477,"0000000000"),"CHECK - HS MISMATCH","-")))</f>
        <v/>
      </c>
    </row>
    <row r="478" ht="15" customHeight="1">
      <c r="A478">
        <f>IF(INPUT!A478="","",INPUT!A478)</f>
        <v/>
      </c>
      <c r="B478">
        <f>IF(INPUT!B478="","",INPUT!B478)</f>
        <v/>
      </c>
      <c r="C478">
        <f>IF(INPUT!D478="","",INPUT!D478)</f>
        <v/>
      </c>
      <c r="D478">
        <f>IF(INPUT!C478="","",INPUT!C478)</f>
        <v/>
      </c>
      <c r="E478">
        <f>IF(INPUT!E478="","",INPUT!E478)</f>
        <v/>
      </c>
      <c r="F478">
        <f>IF(E478="","",TEXT(E478,"0000000000"))</f>
        <v/>
      </c>
      <c r="G478">
        <f>IF(B478="","",IFERROR(INDEX(DB!$B:$B,MATCH(B478,DB!$A:$A,0)),"-"))</f>
        <v/>
      </c>
      <c r="H478">
        <f>IF(B478="","",IF(G478="-","NEW ITEM",IF(F478=TEXT(G478,"0000000000"),"MATCH","MISMATCH")))</f>
        <v/>
      </c>
      <c r="I478">
        <f>IF(B478="","",IF(G478="-","-",IF(F478&lt;&gt;TEXT(G478,"0000000000"),"CHECK - HS MISMATCH","-")))</f>
        <v/>
      </c>
    </row>
    <row r="479" ht="15" customHeight="1">
      <c r="A479">
        <f>IF(INPUT!A479="","",INPUT!A479)</f>
        <v/>
      </c>
      <c r="B479">
        <f>IF(INPUT!B479="","",INPUT!B479)</f>
        <v/>
      </c>
      <c r="C479">
        <f>IF(INPUT!D479="","",INPUT!D479)</f>
        <v/>
      </c>
      <c r="D479">
        <f>IF(INPUT!C479="","",INPUT!C479)</f>
        <v/>
      </c>
      <c r="E479">
        <f>IF(INPUT!E479="","",INPUT!E479)</f>
        <v/>
      </c>
      <c r="F479">
        <f>IF(E479="","",TEXT(E479,"0000000000"))</f>
        <v/>
      </c>
      <c r="G479">
        <f>IF(B479="","",IFERROR(INDEX(DB!$B:$B,MATCH(B479,DB!$A:$A,0)),"-"))</f>
        <v/>
      </c>
      <c r="H479">
        <f>IF(B479="","",IF(G479="-","NEW ITEM",IF(F479=TEXT(G479,"0000000000"),"MATCH","MISMATCH")))</f>
        <v/>
      </c>
      <c r="I479">
        <f>IF(B479="","",IF(G479="-","-",IF(F479&lt;&gt;TEXT(G479,"0000000000"),"CHECK - HS MISMATCH","-")))</f>
        <v/>
      </c>
    </row>
    <row r="480" ht="15" customHeight="1">
      <c r="A480">
        <f>IF(INPUT!A480="","",INPUT!A480)</f>
        <v/>
      </c>
      <c r="B480">
        <f>IF(INPUT!B480="","",INPUT!B480)</f>
        <v/>
      </c>
      <c r="C480">
        <f>IF(INPUT!D480="","",INPUT!D480)</f>
        <v/>
      </c>
      <c r="D480">
        <f>IF(INPUT!C480="","",INPUT!C480)</f>
        <v/>
      </c>
      <c r="E480">
        <f>IF(INPUT!E480="","",INPUT!E480)</f>
        <v/>
      </c>
      <c r="F480">
        <f>IF(E480="","",TEXT(E480,"0000000000"))</f>
        <v/>
      </c>
      <c r="G480">
        <f>IF(B480="","",IFERROR(INDEX(DB!$B:$B,MATCH(B480,DB!$A:$A,0)),"-"))</f>
        <v/>
      </c>
      <c r="H480">
        <f>IF(B480="","",IF(G480="-","NEW ITEM",IF(F480=TEXT(G480,"0000000000"),"MATCH","MISMATCH")))</f>
        <v/>
      </c>
      <c r="I480">
        <f>IF(B480="","",IF(G480="-","-",IF(F480&lt;&gt;TEXT(G480,"0000000000"),"CHECK - HS MISMATCH","-")))</f>
        <v/>
      </c>
    </row>
    <row r="481" ht="15" customHeight="1">
      <c r="A481">
        <f>IF(INPUT!A481="","",INPUT!A481)</f>
        <v/>
      </c>
      <c r="B481">
        <f>IF(INPUT!B481="","",INPUT!B481)</f>
        <v/>
      </c>
      <c r="C481">
        <f>IF(INPUT!D481="","",INPUT!D481)</f>
        <v/>
      </c>
      <c r="D481">
        <f>IF(INPUT!C481="","",INPUT!C481)</f>
        <v/>
      </c>
      <c r="E481">
        <f>IF(INPUT!E481="","",INPUT!E481)</f>
        <v/>
      </c>
      <c r="F481">
        <f>IF(E481="","",TEXT(E481,"0000000000"))</f>
        <v/>
      </c>
      <c r="G481">
        <f>IF(B481="","",IFERROR(INDEX(DB!$B:$B,MATCH(B481,DB!$A:$A,0)),"-"))</f>
        <v/>
      </c>
      <c r="H481">
        <f>IF(B481="","",IF(G481="-","NEW ITEM",IF(F481=TEXT(G481,"0000000000"),"MATCH","MISMATCH")))</f>
        <v/>
      </c>
      <c r="I481">
        <f>IF(B481="","",IF(G481="-","-",IF(F481&lt;&gt;TEXT(G481,"0000000000"),"CHECK - HS MISMATCH","-")))</f>
        <v/>
      </c>
    </row>
    <row r="482" ht="15" customHeight="1">
      <c r="A482">
        <f>IF(INPUT!A482="","",INPUT!A482)</f>
        <v/>
      </c>
      <c r="B482">
        <f>IF(INPUT!B482="","",INPUT!B482)</f>
        <v/>
      </c>
      <c r="C482">
        <f>IF(INPUT!D482="","",INPUT!D482)</f>
        <v/>
      </c>
      <c r="D482">
        <f>IF(INPUT!C482="","",INPUT!C482)</f>
        <v/>
      </c>
      <c r="E482">
        <f>IF(INPUT!E482="","",INPUT!E482)</f>
        <v/>
      </c>
      <c r="F482">
        <f>IF(E482="","",TEXT(E482,"0000000000"))</f>
        <v/>
      </c>
      <c r="G482">
        <f>IF(B482="","",IFERROR(INDEX(DB!$B:$B,MATCH(B482,DB!$A:$A,0)),"-"))</f>
        <v/>
      </c>
      <c r="H482">
        <f>IF(B482="","",IF(G482="-","NEW ITEM",IF(F482=TEXT(G482,"0000000000"),"MATCH","MISMATCH")))</f>
        <v/>
      </c>
      <c r="I482">
        <f>IF(B482="","",IF(G482="-","-",IF(F482&lt;&gt;TEXT(G482,"0000000000"),"CHECK - HS MISMATCH","-")))</f>
        <v/>
      </c>
    </row>
    <row r="483" ht="15" customHeight="1">
      <c r="A483">
        <f>IF(INPUT!A483="","",INPUT!A483)</f>
        <v/>
      </c>
      <c r="B483">
        <f>IF(INPUT!B483="","",INPUT!B483)</f>
        <v/>
      </c>
      <c r="C483">
        <f>IF(INPUT!D483="","",INPUT!D483)</f>
        <v/>
      </c>
      <c r="D483">
        <f>IF(INPUT!C483="","",INPUT!C483)</f>
        <v/>
      </c>
      <c r="E483">
        <f>IF(INPUT!E483="","",INPUT!E483)</f>
        <v/>
      </c>
      <c r="F483">
        <f>IF(E483="","",TEXT(E483,"0000000000"))</f>
        <v/>
      </c>
      <c r="G483">
        <f>IF(B483="","",IFERROR(INDEX(DB!$B:$B,MATCH(B483,DB!$A:$A,0)),"-"))</f>
        <v/>
      </c>
      <c r="H483">
        <f>IF(B483="","",IF(G483="-","NEW ITEM",IF(F483=TEXT(G483,"0000000000"),"MATCH","MISMATCH")))</f>
        <v/>
      </c>
      <c r="I483">
        <f>IF(B483="","",IF(G483="-","-",IF(F483&lt;&gt;TEXT(G483,"0000000000"),"CHECK - HS MISMATCH","-")))</f>
        <v/>
      </c>
    </row>
    <row r="484" ht="15" customHeight="1">
      <c r="A484">
        <f>IF(INPUT!A484="","",INPUT!A484)</f>
        <v/>
      </c>
      <c r="B484">
        <f>IF(INPUT!B484="","",INPUT!B484)</f>
        <v/>
      </c>
      <c r="C484">
        <f>IF(INPUT!D484="","",INPUT!D484)</f>
        <v/>
      </c>
      <c r="D484">
        <f>IF(INPUT!C484="","",INPUT!C484)</f>
        <v/>
      </c>
      <c r="E484">
        <f>IF(INPUT!E484="","",INPUT!E484)</f>
        <v/>
      </c>
      <c r="F484">
        <f>IF(E484="","",TEXT(E484,"0000000000"))</f>
        <v/>
      </c>
      <c r="G484">
        <f>IF(B484="","",IFERROR(INDEX(DB!$B:$B,MATCH(B484,DB!$A:$A,0)),"-"))</f>
        <v/>
      </c>
      <c r="H484">
        <f>IF(B484="","",IF(G484="-","NEW ITEM",IF(F484=TEXT(G484,"0000000000"),"MATCH","MISMATCH")))</f>
        <v/>
      </c>
      <c r="I484">
        <f>IF(B484="","",IF(G484="-","-",IF(F484&lt;&gt;TEXT(G484,"0000000000"),"CHECK - HS MISMATCH","-")))</f>
        <v/>
      </c>
    </row>
    <row r="485" ht="15" customHeight="1">
      <c r="A485">
        <f>IF(INPUT!A485="","",INPUT!A485)</f>
        <v/>
      </c>
      <c r="B485">
        <f>IF(INPUT!B485="","",INPUT!B485)</f>
        <v/>
      </c>
      <c r="C485">
        <f>IF(INPUT!D485="","",INPUT!D485)</f>
        <v/>
      </c>
      <c r="D485">
        <f>IF(INPUT!C485="","",INPUT!C485)</f>
        <v/>
      </c>
      <c r="E485">
        <f>IF(INPUT!E485="","",INPUT!E485)</f>
        <v/>
      </c>
      <c r="F485">
        <f>IF(E485="","",TEXT(E485,"0000000000"))</f>
        <v/>
      </c>
      <c r="G485">
        <f>IF(B485="","",IFERROR(INDEX(DB!$B:$B,MATCH(B485,DB!$A:$A,0)),"-"))</f>
        <v/>
      </c>
      <c r="H485">
        <f>IF(B485="","",IF(G485="-","NEW ITEM",IF(F485=TEXT(G485,"0000000000"),"MATCH","MISMATCH")))</f>
        <v/>
      </c>
      <c r="I485">
        <f>IF(B485="","",IF(G485="-","-",IF(F485&lt;&gt;TEXT(G485,"0000000000"),"CHECK - HS MISMATCH","-")))</f>
        <v/>
      </c>
    </row>
    <row r="486" ht="15" customHeight="1">
      <c r="A486">
        <f>IF(INPUT!A486="","",INPUT!A486)</f>
        <v/>
      </c>
      <c r="B486">
        <f>IF(INPUT!B486="","",INPUT!B486)</f>
        <v/>
      </c>
      <c r="C486">
        <f>IF(INPUT!D486="","",INPUT!D486)</f>
        <v/>
      </c>
      <c r="D486">
        <f>IF(INPUT!C486="","",INPUT!C486)</f>
        <v/>
      </c>
      <c r="E486">
        <f>IF(INPUT!E486="","",INPUT!E486)</f>
        <v/>
      </c>
      <c r="F486">
        <f>IF(E486="","",TEXT(E486,"0000000000"))</f>
        <v/>
      </c>
      <c r="G486">
        <f>IF(B486="","",IFERROR(INDEX(DB!$B:$B,MATCH(B486,DB!$A:$A,0)),"-"))</f>
        <v/>
      </c>
      <c r="H486">
        <f>IF(B486="","",IF(G486="-","NEW ITEM",IF(F486=TEXT(G486,"0000000000"),"MATCH","MISMATCH")))</f>
        <v/>
      </c>
      <c r="I486">
        <f>IF(B486="","",IF(G486="-","-",IF(F486&lt;&gt;TEXT(G486,"0000000000"),"CHECK - HS MISMATCH","-")))</f>
        <v/>
      </c>
    </row>
    <row r="487" ht="15" customHeight="1">
      <c r="A487">
        <f>IF(INPUT!A487="","",INPUT!A487)</f>
        <v/>
      </c>
      <c r="B487">
        <f>IF(INPUT!B487="","",INPUT!B487)</f>
        <v/>
      </c>
      <c r="C487">
        <f>IF(INPUT!D487="","",INPUT!D487)</f>
        <v/>
      </c>
      <c r="D487">
        <f>IF(INPUT!C487="","",INPUT!C487)</f>
        <v/>
      </c>
      <c r="E487">
        <f>IF(INPUT!E487="","",INPUT!E487)</f>
        <v/>
      </c>
      <c r="F487">
        <f>IF(E487="","",TEXT(E487,"0000000000"))</f>
        <v/>
      </c>
      <c r="G487">
        <f>IF(B487="","",IFERROR(INDEX(DB!$B:$B,MATCH(B487,DB!$A:$A,0)),"-"))</f>
        <v/>
      </c>
      <c r="H487">
        <f>IF(B487="","",IF(G487="-","NEW ITEM",IF(F487=TEXT(G487,"0000000000"),"MATCH","MISMATCH")))</f>
        <v/>
      </c>
      <c r="I487">
        <f>IF(B487="","",IF(G487="-","-",IF(F487&lt;&gt;TEXT(G487,"0000000000"),"CHECK - HS MISMATCH","-")))</f>
        <v/>
      </c>
    </row>
    <row r="488" ht="15" customHeight="1">
      <c r="A488">
        <f>IF(INPUT!A488="","",INPUT!A488)</f>
        <v/>
      </c>
      <c r="B488">
        <f>IF(INPUT!B488="","",INPUT!B488)</f>
        <v/>
      </c>
      <c r="C488">
        <f>IF(INPUT!D488="","",INPUT!D488)</f>
        <v/>
      </c>
      <c r="D488">
        <f>IF(INPUT!C488="","",INPUT!C488)</f>
        <v/>
      </c>
      <c r="E488">
        <f>IF(INPUT!E488="","",INPUT!E488)</f>
        <v/>
      </c>
      <c r="F488">
        <f>IF(E488="","",TEXT(E488,"0000000000"))</f>
        <v/>
      </c>
      <c r="G488">
        <f>IF(B488="","",IFERROR(INDEX(DB!$B:$B,MATCH(B488,DB!$A:$A,0)),"-"))</f>
        <v/>
      </c>
      <c r="H488">
        <f>IF(B488="","",IF(G488="-","NEW ITEM",IF(F488=TEXT(G488,"0000000000"),"MATCH","MISMATCH")))</f>
        <v/>
      </c>
      <c r="I488">
        <f>IF(B488="","",IF(G488="-","-",IF(F488&lt;&gt;TEXT(G488,"0000000000"),"CHECK - HS MISMATCH","-")))</f>
        <v/>
      </c>
    </row>
    <row r="489" ht="15" customHeight="1">
      <c r="A489">
        <f>IF(INPUT!A489="","",INPUT!A489)</f>
        <v/>
      </c>
      <c r="B489">
        <f>IF(INPUT!B489="","",INPUT!B489)</f>
        <v/>
      </c>
      <c r="C489">
        <f>IF(INPUT!D489="","",INPUT!D489)</f>
        <v/>
      </c>
      <c r="D489">
        <f>IF(INPUT!C489="","",INPUT!C489)</f>
        <v/>
      </c>
      <c r="E489">
        <f>IF(INPUT!E489="","",INPUT!E489)</f>
        <v/>
      </c>
      <c r="F489">
        <f>IF(E489="","",TEXT(E489,"0000000000"))</f>
        <v/>
      </c>
      <c r="G489">
        <f>IF(B489="","",IFERROR(INDEX(DB!$B:$B,MATCH(B489,DB!$A:$A,0)),"-"))</f>
        <v/>
      </c>
      <c r="H489">
        <f>IF(B489="","",IF(G489="-","NEW ITEM",IF(F489=TEXT(G489,"0000000000"),"MATCH","MISMATCH")))</f>
        <v/>
      </c>
      <c r="I489">
        <f>IF(B489="","",IF(G489="-","-",IF(F489&lt;&gt;TEXT(G489,"0000000000"),"CHECK - HS MISMATCH","-")))</f>
        <v/>
      </c>
    </row>
    <row r="490" ht="15" customHeight="1">
      <c r="A490">
        <f>IF(INPUT!A490="","",INPUT!A490)</f>
        <v/>
      </c>
      <c r="B490">
        <f>IF(INPUT!B490="","",INPUT!B490)</f>
        <v/>
      </c>
      <c r="C490">
        <f>IF(INPUT!D490="","",INPUT!D490)</f>
        <v/>
      </c>
      <c r="D490">
        <f>IF(INPUT!C490="","",INPUT!C490)</f>
        <v/>
      </c>
      <c r="E490">
        <f>IF(INPUT!E490="","",INPUT!E490)</f>
        <v/>
      </c>
      <c r="F490">
        <f>IF(E490="","",TEXT(E490,"0000000000"))</f>
        <v/>
      </c>
      <c r="G490">
        <f>IF(B490="","",IFERROR(INDEX(DB!$B:$B,MATCH(B490,DB!$A:$A,0)),"-"))</f>
        <v/>
      </c>
      <c r="H490">
        <f>IF(B490="","",IF(G490="-","NEW ITEM",IF(F490=TEXT(G490,"0000000000"),"MATCH","MISMATCH")))</f>
        <v/>
      </c>
      <c r="I490">
        <f>IF(B490="","",IF(G490="-","-",IF(F490&lt;&gt;TEXT(G490,"0000000000"),"CHECK - HS MISMATCH","-")))</f>
        <v/>
      </c>
    </row>
    <row r="491" ht="15" customHeight="1">
      <c r="A491">
        <f>IF(INPUT!A491="","",INPUT!A491)</f>
        <v/>
      </c>
      <c r="B491">
        <f>IF(INPUT!B491="","",INPUT!B491)</f>
        <v/>
      </c>
      <c r="C491">
        <f>IF(INPUT!D491="","",INPUT!D491)</f>
        <v/>
      </c>
      <c r="D491">
        <f>IF(INPUT!C491="","",INPUT!C491)</f>
        <v/>
      </c>
      <c r="E491">
        <f>IF(INPUT!E491="","",INPUT!E491)</f>
        <v/>
      </c>
      <c r="F491">
        <f>IF(E491="","",TEXT(E491,"0000000000"))</f>
        <v/>
      </c>
      <c r="G491">
        <f>IF(B491="","",IFERROR(INDEX(DB!$B:$B,MATCH(B491,DB!$A:$A,0)),"-"))</f>
        <v/>
      </c>
      <c r="H491">
        <f>IF(B491="","",IF(G491="-","NEW ITEM",IF(F491=TEXT(G491,"0000000000"),"MATCH","MISMATCH")))</f>
        <v/>
      </c>
      <c r="I491">
        <f>IF(B491="","",IF(G491="-","-",IF(F491&lt;&gt;TEXT(G491,"0000000000"),"CHECK - HS MISMATCH","-")))</f>
        <v/>
      </c>
    </row>
    <row r="492" ht="15" customHeight="1">
      <c r="A492">
        <f>IF(INPUT!A492="","",INPUT!A492)</f>
        <v/>
      </c>
      <c r="B492">
        <f>IF(INPUT!B492="","",INPUT!B492)</f>
        <v/>
      </c>
      <c r="C492">
        <f>IF(INPUT!D492="","",INPUT!D492)</f>
        <v/>
      </c>
      <c r="D492">
        <f>IF(INPUT!C492="","",INPUT!C492)</f>
        <v/>
      </c>
      <c r="E492">
        <f>IF(INPUT!E492="","",INPUT!E492)</f>
        <v/>
      </c>
      <c r="F492">
        <f>IF(E492="","",TEXT(E492,"0000000000"))</f>
        <v/>
      </c>
      <c r="G492">
        <f>IF(B492="","",IFERROR(INDEX(DB!$B:$B,MATCH(B492,DB!$A:$A,0)),"-"))</f>
        <v/>
      </c>
      <c r="H492">
        <f>IF(B492="","",IF(G492="-","NEW ITEM",IF(F492=TEXT(G492,"0000000000"),"MATCH","MISMATCH")))</f>
        <v/>
      </c>
      <c r="I492">
        <f>IF(B492="","",IF(G492="-","-",IF(F492&lt;&gt;TEXT(G492,"0000000000"),"CHECK - HS MISMATCH","-")))</f>
        <v/>
      </c>
    </row>
    <row r="493" ht="15" customHeight="1">
      <c r="A493">
        <f>IF(INPUT!A493="","",INPUT!A493)</f>
        <v/>
      </c>
      <c r="B493">
        <f>IF(INPUT!B493="","",INPUT!B493)</f>
        <v/>
      </c>
      <c r="C493">
        <f>IF(INPUT!D493="","",INPUT!D493)</f>
        <v/>
      </c>
      <c r="D493">
        <f>IF(INPUT!C493="","",INPUT!C493)</f>
        <v/>
      </c>
      <c r="E493">
        <f>IF(INPUT!E493="","",INPUT!E493)</f>
        <v/>
      </c>
      <c r="F493">
        <f>IF(E493="","",TEXT(E493,"0000000000"))</f>
        <v/>
      </c>
      <c r="G493">
        <f>IF(B493="","",IFERROR(INDEX(DB!$B:$B,MATCH(B493,DB!$A:$A,0)),"-"))</f>
        <v/>
      </c>
      <c r="H493">
        <f>IF(B493="","",IF(G493="-","NEW ITEM",IF(F493=TEXT(G493,"0000000000"),"MATCH","MISMATCH")))</f>
        <v/>
      </c>
      <c r="I493">
        <f>IF(B493="","",IF(G493="-","-",IF(F493&lt;&gt;TEXT(G493,"0000000000"),"CHECK - HS MISMATCH","-")))</f>
        <v/>
      </c>
    </row>
    <row r="494" ht="15" customHeight="1">
      <c r="A494">
        <f>IF(INPUT!A494="","",INPUT!A494)</f>
        <v/>
      </c>
      <c r="B494">
        <f>IF(INPUT!B494="","",INPUT!B494)</f>
        <v/>
      </c>
      <c r="C494">
        <f>IF(INPUT!D494="","",INPUT!D494)</f>
        <v/>
      </c>
      <c r="D494">
        <f>IF(INPUT!C494="","",INPUT!C494)</f>
        <v/>
      </c>
      <c r="E494">
        <f>IF(INPUT!E494="","",INPUT!E494)</f>
        <v/>
      </c>
      <c r="F494">
        <f>IF(E494="","",TEXT(E494,"0000000000"))</f>
        <v/>
      </c>
      <c r="G494">
        <f>IF(B494="","",IFERROR(INDEX(DB!$B:$B,MATCH(B494,DB!$A:$A,0)),"-"))</f>
        <v/>
      </c>
      <c r="H494">
        <f>IF(B494="","",IF(G494="-","NEW ITEM",IF(F494=TEXT(G494,"0000000000"),"MATCH","MISMATCH")))</f>
        <v/>
      </c>
      <c r="I494">
        <f>IF(B494="","",IF(G494="-","-",IF(F494&lt;&gt;TEXT(G494,"0000000000"),"CHECK - HS MISMATCH","-")))</f>
        <v/>
      </c>
    </row>
    <row r="495" ht="15" customHeight="1">
      <c r="A495">
        <f>IF(INPUT!A495="","",INPUT!A495)</f>
        <v/>
      </c>
      <c r="B495">
        <f>IF(INPUT!B495="","",INPUT!B495)</f>
        <v/>
      </c>
      <c r="C495">
        <f>IF(INPUT!D495="","",INPUT!D495)</f>
        <v/>
      </c>
      <c r="D495">
        <f>IF(INPUT!C495="","",INPUT!C495)</f>
        <v/>
      </c>
      <c r="E495">
        <f>IF(INPUT!E495="","",INPUT!E495)</f>
        <v/>
      </c>
      <c r="F495">
        <f>IF(E495="","",TEXT(E495,"0000000000"))</f>
        <v/>
      </c>
      <c r="G495">
        <f>IF(B495="","",IFERROR(INDEX(DB!$B:$B,MATCH(B495,DB!$A:$A,0)),"-"))</f>
        <v/>
      </c>
      <c r="H495">
        <f>IF(B495="","",IF(G495="-","NEW ITEM",IF(F495=TEXT(G495,"0000000000"),"MATCH","MISMATCH")))</f>
        <v/>
      </c>
      <c r="I495">
        <f>IF(B495="","",IF(G495="-","-",IF(F495&lt;&gt;TEXT(G495,"0000000000"),"CHECK - HS MISMATCH","-")))</f>
        <v/>
      </c>
    </row>
    <row r="496" ht="15" customHeight="1">
      <c r="A496">
        <f>IF(INPUT!A496="","",INPUT!A496)</f>
        <v/>
      </c>
      <c r="B496">
        <f>IF(INPUT!B496="","",INPUT!B496)</f>
        <v/>
      </c>
      <c r="C496">
        <f>IF(INPUT!D496="","",INPUT!D496)</f>
        <v/>
      </c>
      <c r="D496">
        <f>IF(INPUT!C496="","",INPUT!C496)</f>
        <v/>
      </c>
      <c r="E496">
        <f>IF(INPUT!E496="","",INPUT!E496)</f>
        <v/>
      </c>
      <c r="F496">
        <f>IF(E496="","",TEXT(E496,"0000000000"))</f>
        <v/>
      </c>
      <c r="G496">
        <f>IF(B496="","",IFERROR(INDEX(DB!$B:$B,MATCH(B496,DB!$A:$A,0)),"-"))</f>
        <v/>
      </c>
      <c r="H496">
        <f>IF(B496="","",IF(G496="-","NEW ITEM",IF(F496=TEXT(G496,"0000000000"),"MATCH","MISMATCH")))</f>
        <v/>
      </c>
      <c r="I496">
        <f>IF(B496="","",IF(G496="-","-",IF(F496&lt;&gt;TEXT(G496,"0000000000"),"CHECK - HS MISMATCH","-")))</f>
        <v/>
      </c>
    </row>
    <row r="497" ht="15" customHeight="1">
      <c r="A497">
        <f>IF(INPUT!A497="","",INPUT!A497)</f>
        <v/>
      </c>
      <c r="B497">
        <f>IF(INPUT!B497="","",INPUT!B497)</f>
        <v/>
      </c>
      <c r="C497">
        <f>IF(INPUT!D497="","",INPUT!D497)</f>
        <v/>
      </c>
      <c r="D497">
        <f>IF(INPUT!C497="","",INPUT!C497)</f>
        <v/>
      </c>
      <c r="E497">
        <f>IF(INPUT!E497="","",INPUT!E497)</f>
        <v/>
      </c>
      <c r="F497">
        <f>IF(E497="","",TEXT(E497,"0000000000"))</f>
        <v/>
      </c>
      <c r="G497">
        <f>IF(B497="","",IFERROR(INDEX(DB!$B:$B,MATCH(B497,DB!$A:$A,0)),"-"))</f>
        <v/>
      </c>
      <c r="H497">
        <f>IF(B497="","",IF(G497="-","NEW ITEM",IF(F497=TEXT(G497,"0000000000"),"MATCH","MISMATCH")))</f>
        <v/>
      </c>
      <c r="I497">
        <f>IF(B497="","",IF(G497="-","-",IF(F497&lt;&gt;TEXT(G497,"0000000000"),"CHECK - HS MISMATCH","-")))</f>
        <v/>
      </c>
    </row>
    <row r="498" ht="15" customHeight="1">
      <c r="A498">
        <f>IF(INPUT!A498="","",INPUT!A498)</f>
        <v/>
      </c>
      <c r="B498">
        <f>IF(INPUT!B498="","",INPUT!B498)</f>
        <v/>
      </c>
      <c r="C498">
        <f>IF(INPUT!D498="","",INPUT!D498)</f>
        <v/>
      </c>
      <c r="D498">
        <f>IF(INPUT!C498="","",INPUT!C498)</f>
        <v/>
      </c>
      <c r="E498">
        <f>IF(INPUT!E498="","",INPUT!E498)</f>
        <v/>
      </c>
      <c r="F498">
        <f>IF(E498="","",TEXT(E498,"0000000000"))</f>
        <v/>
      </c>
      <c r="G498">
        <f>IF(B498="","",IFERROR(INDEX(DB!$B:$B,MATCH(B498,DB!$A:$A,0)),"-"))</f>
        <v/>
      </c>
      <c r="H498">
        <f>IF(B498="","",IF(G498="-","NEW ITEM",IF(F498=TEXT(G498,"0000000000"),"MATCH","MISMATCH")))</f>
        <v/>
      </c>
      <c r="I498">
        <f>IF(B498="","",IF(G498="-","-",IF(F498&lt;&gt;TEXT(G498,"0000000000"),"CHECK - HS MISMATCH","-")))</f>
        <v/>
      </c>
    </row>
    <row r="499" ht="15" customHeight="1">
      <c r="A499">
        <f>IF(INPUT!A499="","",INPUT!A499)</f>
        <v/>
      </c>
      <c r="B499">
        <f>IF(INPUT!B499="","",INPUT!B499)</f>
        <v/>
      </c>
      <c r="C499">
        <f>IF(INPUT!D499="","",INPUT!D499)</f>
        <v/>
      </c>
      <c r="D499">
        <f>IF(INPUT!C499="","",INPUT!C499)</f>
        <v/>
      </c>
      <c r="E499">
        <f>IF(INPUT!E499="","",INPUT!E499)</f>
        <v/>
      </c>
      <c r="F499">
        <f>IF(E499="","",TEXT(E499,"0000000000"))</f>
        <v/>
      </c>
      <c r="G499">
        <f>IF(B499="","",IFERROR(INDEX(DB!$B:$B,MATCH(B499,DB!$A:$A,0)),"-"))</f>
        <v/>
      </c>
      <c r="H499">
        <f>IF(B499="","",IF(G499="-","NEW ITEM",IF(F499=TEXT(G499,"0000000000"),"MATCH","MISMATCH")))</f>
        <v/>
      </c>
      <c r="I499">
        <f>IF(B499="","",IF(G499="-","-",IF(F499&lt;&gt;TEXT(G499,"0000000000"),"CHECK - HS MISMATCH","-")))</f>
        <v/>
      </c>
    </row>
    <row r="500" ht="15" customHeight="1">
      <c r="A500">
        <f>IF(INPUT!A500="","",INPUT!A500)</f>
        <v/>
      </c>
      <c r="B500">
        <f>IF(INPUT!B500="","",INPUT!B500)</f>
        <v/>
      </c>
      <c r="C500">
        <f>IF(INPUT!D500="","",INPUT!D500)</f>
        <v/>
      </c>
      <c r="D500">
        <f>IF(INPUT!C500="","",INPUT!C500)</f>
        <v/>
      </c>
      <c r="E500">
        <f>IF(INPUT!E500="","",INPUT!E500)</f>
        <v/>
      </c>
      <c r="F500">
        <f>IF(E500="","",TEXT(E500,"0000000000"))</f>
        <v/>
      </c>
      <c r="G500">
        <f>IF(B500="","",IFERROR(INDEX(DB!$B:$B,MATCH(B500,DB!$A:$A,0)),"-"))</f>
        <v/>
      </c>
      <c r="H500">
        <f>IF(B500="","",IF(G500="-","NEW ITEM",IF(F500=TEXT(G500,"0000000000"),"MATCH","MISMATCH")))</f>
        <v/>
      </c>
      <c r="I500">
        <f>IF(B500="","",IF(G500="-","-",IF(F500&lt;&gt;TEXT(G500,"0000000000"),"CHECK - HS MISMATCH","-")))</f>
        <v/>
      </c>
    </row>
    <row r="501" ht="15" customHeight="1">
      <c r="A501">
        <f>IF(INPUT!A501="","",INPUT!A501)</f>
        <v/>
      </c>
      <c r="B501">
        <f>IF(INPUT!B501="","",INPUT!B501)</f>
        <v/>
      </c>
      <c r="C501">
        <f>IF(INPUT!D501="","",INPUT!D501)</f>
        <v/>
      </c>
      <c r="D501">
        <f>IF(INPUT!C501="","",INPUT!C501)</f>
        <v/>
      </c>
      <c r="E501">
        <f>IF(INPUT!E501="","",INPUT!E501)</f>
        <v/>
      </c>
      <c r="F501">
        <f>IF(E501="","",TEXT(E501,"0000000000"))</f>
        <v/>
      </c>
      <c r="G501">
        <f>IF(B501="","",IFERROR(INDEX(DB!$B:$B,MATCH(B501,DB!$A:$A,0)),"-"))</f>
        <v/>
      </c>
      <c r="H501">
        <f>IF(B501="","",IF(G501="-","NEW ITEM",IF(F501=TEXT(G501,"0000000000"),"MATCH","MISMATCH")))</f>
        <v/>
      </c>
      <c r="I501">
        <f>IF(B501="","",IF(G501="-","-",IF(F501&lt;&gt;TEXT(G501,"0000000000"),"CHECK - HS MISMATCH","-")))</f>
        <v/>
      </c>
    </row>
    <row r="502" ht="15" customHeight="1">
      <c r="A502">
        <f>IF(INPUT!A502="","",INPUT!A502)</f>
        <v/>
      </c>
      <c r="B502">
        <f>IF(INPUT!B502="","",INPUT!B502)</f>
        <v/>
      </c>
      <c r="C502">
        <f>IF(INPUT!D502="","",INPUT!D502)</f>
        <v/>
      </c>
      <c r="D502">
        <f>IF(INPUT!C502="","",INPUT!C502)</f>
        <v/>
      </c>
      <c r="E502">
        <f>IF(INPUT!E502="","",INPUT!E502)</f>
        <v/>
      </c>
      <c r="F502">
        <f>IF(E502="","",TEXT(E502,"0000000000"))</f>
        <v/>
      </c>
      <c r="G502">
        <f>IF(B502="","",IFERROR(INDEX(DB!$B:$B,MATCH(B502,DB!$A:$A,0)),"-"))</f>
        <v/>
      </c>
      <c r="H502">
        <f>IF(B502="","",IF(G502="-","NEW ITEM",IF(F502=TEXT(G502,"0000000000"),"MATCH","MISMATCH")))</f>
        <v/>
      </c>
      <c r="I502">
        <f>IF(B502="","",IF(G502="-","-",IF(F502&lt;&gt;TEXT(G502,"0000000000"),"CHECK - HS MISMATCH","-")))</f>
        <v/>
      </c>
    </row>
  </sheetData>
  <autoFilter ref="A2:I302"/>
  <mergeCells count="1">
    <mergeCell ref="A1:I1"/>
  </mergeCells>
  <conditionalFormatting sqref="H3:H302">
    <cfRule type="cellIs" priority="2" operator="equal" dxfId="1">
      <formula>"MATCH"</formula>
    </cfRule>
    <cfRule type="cellIs" priority="3" operator="equal" dxfId="0">
      <formula>"MISMATCH"</formula>
    </cfRule>
    <cfRule type="cellIs" priority="4" operator="equal" dxfId="5">
      <formula>"NEW ITEM"</formula>
    </cfRule>
  </conditionalFormatting>
  <conditionalFormatting sqref="I3:I302">
    <cfRule type="cellIs" priority="5" operator="equal" dxfId="0">
      <formula>"CHECK - HS MISMATCH"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/>
  </sheetPr>
  <dimension ref="A1:I502"/>
  <sheetViews>
    <sheetView tabSelected="1" zoomScaleNormal="100" workbookViewId="0">
      <pane ySplit="2" topLeftCell="A3" activePane="bottomLeft" state="frozen"/>
      <selection pane="bottomLeft" activeCell="F4" sqref="A1:I502"/>
    </sheetView>
  </sheetViews>
  <sheetFormatPr baseColWidth="8" defaultColWidth="8.7109375" defaultRowHeight="15"/>
  <cols>
    <col width="10.5703125" bestFit="1" customWidth="1" min="1" max="1"/>
    <col width="13.85546875" bestFit="1" customWidth="1" min="2" max="2"/>
    <col width="37.42578125" bestFit="1" customWidth="1" min="3" max="3"/>
    <col width="11" bestFit="1" customWidth="1" min="4" max="4"/>
    <col width="19.28515625" bestFit="1" customWidth="1" min="5" max="5"/>
    <col width="15.5703125" bestFit="1" customWidth="1" min="6" max="6"/>
    <col width="8" bestFit="1" customWidth="1" min="7" max="7"/>
    <col width="13.5703125" bestFit="1" customWidth="1" min="8" max="8"/>
    <col width="8" bestFit="1" customWidth="1" min="9" max="9"/>
  </cols>
  <sheetData>
    <row r="1" ht="34.5" customHeight="1">
      <c r="A1" s="24" t="inlineStr">
        <is>
          <t>PPI_CHECK — PPI Compliance Validation Engine</t>
        </is>
      </c>
    </row>
    <row r="2" ht="30" customHeight="1">
      <c r="A2" s="19" t="inlineStr">
        <is>
          <t>Line N°</t>
        </is>
      </c>
      <c r="B2" s="19" t="inlineStr">
        <is>
          <t>Part No</t>
        </is>
      </c>
      <c r="C2" s="19" t="inlineStr">
        <is>
          <t>Designation</t>
        </is>
      </c>
      <c r="D2" s="19" t="inlineStr">
        <is>
          <t>Class</t>
        </is>
      </c>
      <c r="E2" s="19" t="inlineStr">
        <is>
          <t>HS Code (Normalized)</t>
        </is>
      </c>
      <c r="F2" s="19" t="inlineStr">
        <is>
          <t>PPI Status</t>
        </is>
      </c>
      <c r="G2" s="19" t="inlineStr">
        <is>
          <t>—</t>
        </is>
      </c>
      <c r="H2" s="19" t="inlineStr">
        <is>
          <t>Invoice Qty</t>
        </is>
      </c>
      <c r="I2" s="19" t="inlineStr">
        <is>
          <t>—</t>
        </is>
      </c>
    </row>
    <row r="3" ht="15" customHeight="1">
      <c r="A3" s="14">
        <f>IF(INPUT!A3="","",INPUT!A3)</f>
        <v/>
      </c>
      <c r="B3" s="14">
        <f>IF(INPUT!B3="","",INPUT!B3)</f>
        <v/>
      </c>
      <c r="C3" s="14">
        <f>IF(INPUT!C3="","",INPUT!C3)</f>
        <v/>
      </c>
      <c r="D3" s="14">
        <f>IF(INPUT!D3="","",INPUT!D3)</f>
        <v/>
      </c>
      <c r="E3" s="15">
        <f>IF(INPUT!E3="","",TEXT(INPUT!E3,"0000000000"))</f>
        <v/>
      </c>
      <c r="F3" s="6">
        <f>IF(E3="","",IF(COUNTIF(INDIRECT("PPI_"&amp;CONFIG!$B$4&amp;"!$A:$A"),VALUE(E3))&gt;0,"IN PPI","NOT IN PPI"))</f>
        <v/>
      </c>
      <c r="G3" s="6">
        <f>IF(F3="","","-")</f>
        <v/>
      </c>
      <c r="H3" s="6">
        <f>IF(INPUT!F3="","",INPUT!F3)</f>
        <v/>
      </c>
      <c r="I3" s="6">
        <f>IF(F3="","","N/A")</f>
        <v/>
      </c>
    </row>
    <row r="4" ht="15" customHeight="1">
      <c r="A4" s="16">
        <f>IF(INPUT!A4="","",INPUT!A4)</f>
        <v/>
      </c>
      <c r="B4" s="16">
        <f>IF(INPUT!B4="","",INPUT!B4)</f>
        <v/>
      </c>
      <c r="C4" s="16">
        <f>IF(INPUT!C4="","",INPUT!C4)</f>
        <v/>
      </c>
      <c r="D4" s="16">
        <f>IF(INPUT!D4="","",INPUT!D4)</f>
        <v/>
      </c>
      <c r="E4" s="17">
        <f>IF(INPUT!E4="","",TEXT(INPUT!E4,"0000000000"))</f>
        <v/>
      </c>
      <c r="F4" s="4">
        <f>IF(E4="","",IF(COUNTIF(INDIRECT("PPI_"&amp;CONFIG!$B$4&amp;"!$A:$A"),VALUE(E4))&gt;0,"IN PPI","NOT IN PPI"))</f>
        <v/>
      </c>
      <c r="G4" s="4">
        <f>IF(F4="","","-")</f>
        <v/>
      </c>
      <c r="H4" s="4">
        <f>IF(INPUT!F4="","",INPUT!F4)</f>
        <v/>
      </c>
      <c r="I4" s="4">
        <f>IF(F4="","","N/A")</f>
        <v/>
      </c>
    </row>
    <row r="5" ht="15" customHeight="1">
      <c r="A5" s="14">
        <f>IF(INPUT!A5="","",INPUT!A5)</f>
        <v/>
      </c>
      <c r="B5" s="14">
        <f>IF(INPUT!B5="","",INPUT!B5)</f>
        <v/>
      </c>
      <c r="C5" s="14">
        <f>IF(INPUT!C5="","",INPUT!C5)</f>
        <v/>
      </c>
      <c r="D5" s="14">
        <f>IF(INPUT!D5="","",INPUT!D5)</f>
        <v/>
      </c>
      <c r="E5" s="15">
        <f>IF(INPUT!E5="","",TEXT(INPUT!E5,"0000000000"))</f>
        <v/>
      </c>
      <c r="F5" s="6">
        <f>IF(E5="","",IF(COUNTIF(INDIRECT("PPI_"&amp;CONFIG!$B$4&amp;"!$A:$A"),VALUE(E5))&gt;0,"IN PPI","NOT IN PPI"))</f>
        <v/>
      </c>
      <c r="G5" s="6">
        <f>IF(F5="","","-")</f>
        <v/>
      </c>
      <c r="H5" s="6">
        <f>IF(INPUT!F5="","",INPUT!F5)</f>
        <v/>
      </c>
      <c r="I5" s="6">
        <f>IF(F5="","","N/A")</f>
        <v/>
      </c>
    </row>
    <row r="6" ht="15" customHeight="1">
      <c r="A6" s="16">
        <f>IF(INPUT!A6="","",INPUT!A6)</f>
        <v/>
      </c>
      <c r="B6" s="16">
        <f>IF(INPUT!B6="","",INPUT!B6)</f>
        <v/>
      </c>
      <c r="C6" s="16">
        <f>IF(INPUT!C6="","",INPUT!C6)</f>
        <v/>
      </c>
      <c r="D6" s="16">
        <f>IF(INPUT!D6="","",INPUT!D6)</f>
        <v/>
      </c>
      <c r="E6" s="17">
        <f>IF(INPUT!E6="","",TEXT(INPUT!E6,"0000000000"))</f>
        <v/>
      </c>
      <c r="F6" s="4">
        <f>IF(E6="","",IF(COUNTIF(INDIRECT("PPI_"&amp;CONFIG!$B$4&amp;"!$A:$A"),VALUE(E6))&gt;0,"IN PPI","NOT IN PPI"))</f>
        <v/>
      </c>
      <c r="G6" s="4">
        <f>IF(F6="","","-")</f>
        <v/>
      </c>
      <c r="H6" s="4">
        <f>IF(INPUT!F6="","",INPUT!F6)</f>
        <v/>
      </c>
      <c r="I6" s="4">
        <f>IF(F6="","","N/A")</f>
        <v/>
      </c>
    </row>
    <row r="7" ht="15" customHeight="1">
      <c r="A7" s="14">
        <f>IF(INPUT!A7="","",INPUT!A7)</f>
        <v/>
      </c>
      <c r="B7" s="14">
        <f>IF(INPUT!B7="","",INPUT!B7)</f>
        <v/>
      </c>
      <c r="C7" s="14">
        <f>IF(INPUT!C7="","",INPUT!C7)</f>
        <v/>
      </c>
      <c r="D7" s="14">
        <f>IF(INPUT!D7="","",INPUT!D7)</f>
        <v/>
      </c>
      <c r="E7" s="15">
        <f>IF(INPUT!E7="","",TEXT(INPUT!E7,"0000000000"))</f>
        <v/>
      </c>
      <c r="F7" s="6">
        <f>IF(E7="","",IF(COUNTIF(INDIRECT("PPI_"&amp;CONFIG!$B$4&amp;"!$A:$A"),VALUE(E7))&gt;0,"IN PPI","NOT IN PPI"))</f>
        <v/>
      </c>
      <c r="G7" s="6">
        <f>IF(F7="","","-")</f>
        <v/>
      </c>
      <c r="H7" s="6">
        <f>IF(INPUT!F7="","",INPUT!F7)</f>
        <v/>
      </c>
      <c r="I7" s="6">
        <f>IF(F7="","","N/A")</f>
        <v/>
      </c>
    </row>
    <row r="8" ht="15" customHeight="1">
      <c r="A8" s="16">
        <f>IF(INPUT!A8="","",INPUT!A8)</f>
        <v/>
      </c>
      <c r="B8" s="16">
        <f>IF(INPUT!B8="","",INPUT!B8)</f>
        <v/>
      </c>
      <c r="C8" s="16">
        <f>IF(INPUT!C8="","",INPUT!C8)</f>
        <v/>
      </c>
      <c r="D8" s="16">
        <f>IF(INPUT!D8="","",INPUT!D8)</f>
        <v/>
      </c>
      <c r="E8" s="17">
        <f>IF(INPUT!E8="","",TEXT(INPUT!E8,"0000000000"))</f>
        <v/>
      </c>
      <c r="F8" s="4">
        <f>IF(E8="","",IF(COUNTIF(INDIRECT("PPI_"&amp;CONFIG!$B$4&amp;"!$A:$A"),VALUE(E8))&gt;0,"IN PPI","NOT IN PPI"))</f>
        <v/>
      </c>
      <c r="G8" s="4">
        <f>IF(F8="","","-")</f>
        <v/>
      </c>
      <c r="H8" s="4">
        <f>IF(INPUT!F8="","",INPUT!F8)</f>
        <v/>
      </c>
      <c r="I8" s="4">
        <f>IF(F8="","","N/A")</f>
        <v/>
      </c>
    </row>
    <row r="9" ht="15" customHeight="1">
      <c r="A9" s="14">
        <f>IF(INPUT!A9="","",INPUT!A9)</f>
        <v/>
      </c>
      <c r="B9" s="14">
        <f>IF(INPUT!B9="","",INPUT!B9)</f>
        <v/>
      </c>
      <c r="C9" s="14">
        <f>IF(INPUT!C9="","",INPUT!C9)</f>
        <v/>
      </c>
      <c r="D9" s="14">
        <f>IF(INPUT!D9="","",INPUT!D9)</f>
        <v/>
      </c>
      <c r="E9" s="15">
        <f>IF(INPUT!E9="","",TEXT(INPUT!E9,"0000000000"))</f>
        <v/>
      </c>
      <c r="F9" s="6">
        <f>IF(E9="","",IF(COUNTIF(INDIRECT("PPI_"&amp;CONFIG!$B$4&amp;"!$A:$A"),VALUE(E9))&gt;0,"IN PPI","NOT IN PPI"))</f>
        <v/>
      </c>
      <c r="G9" s="6">
        <f>IF(F9="","","-")</f>
        <v/>
      </c>
      <c r="H9" s="6">
        <f>IF(INPUT!F9="","",INPUT!F9)</f>
        <v/>
      </c>
      <c r="I9" s="6">
        <f>IF(F9="","","N/A")</f>
        <v/>
      </c>
    </row>
    <row r="10" ht="15" customHeight="1">
      <c r="A10" s="16">
        <f>IF(INPUT!A10="","",INPUT!A10)</f>
        <v/>
      </c>
      <c r="B10" s="16">
        <f>IF(INPUT!B10="","",INPUT!B10)</f>
        <v/>
      </c>
      <c r="C10" s="16">
        <f>IF(INPUT!C10="","",INPUT!C10)</f>
        <v/>
      </c>
      <c r="D10" s="16">
        <f>IF(INPUT!D10="","",INPUT!D10)</f>
        <v/>
      </c>
      <c r="E10" s="17">
        <f>IF(INPUT!E10="","",TEXT(INPUT!E10,"0000000000"))</f>
        <v/>
      </c>
      <c r="F10" s="4">
        <f>IF(E10="","",IF(COUNTIF(INDIRECT("PPI_"&amp;CONFIG!$B$4&amp;"!$A:$A"),VALUE(E10))&gt;0,"IN PPI","NOT IN PPI"))</f>
        <v/>
      </c>
      <c r="G10" s="4">
        <f>IF(F10="","","-")</f>
        <v/>
      </c>
      <c r="H10" s="4">
        <f>IF(INPUT!F10="","",INPUT!F10)</f>
        <v/>
      </c>
      <c r="I10" s="4">
        <f>IF(F10="","","N/A")</f>
        <v/>
      </c>
    </row>
    <row r="11" ht="15" customHeight="1">
      <c r="A11" s="14">
        <f>IF(INPUT!A11="","",INPUT!A11)</f>
        <v/>
      </c>
      <c r="B11" s="14">
        <f>IF(INPUT!B11="","",INPUT!B11)</f>
        <v/>
      </c>
      <c r="C11" s="14">
        <f>IF(INPUT!C11="","",INPUT!C11)</f>
        <v/>
      </c>
      <c r="D11" s="14">
        <f>IF(INPUT!D11="","",INPUT!D11)</f>
        <v/>
      </c>
      <c r="E11" s="15">
        <f>IF(INPUT!E11="","",TEXT(INPUT!E11,"0000000000"))</f>
        <v/>
      </c>
      <c r="F11" s="6">
        <f>IF(E11="","",IF(COUNTIF(INDIRECT("PPI_"&amp;CONFIG!$B$4&amp;"!$A:$A"),VALUE(E11))&gt;0,"IN PPI","NOT IN PPI"))</f>
        <v/>
      </c>
      <c r="G11" s="6">
        <f>IF(F11="","","-")</f>
        <v/>
      </c>
      <c r="H11" s="6">
        <f>IF(INPUT!F11="","",INPUT!F11)</f>
        <v/>
      </c>
      <c r="I11" s="6">
        <f>IF(F11="","","N/A")</f>
        <v/>
      </c>
    </row>
    <row r="12" ht="15" customHeight="1">
      <c r="A12" s="16">
        <f>IF(INPUT!A12="","",INPUT!A12)</f>
        <v/>
      </c>
      <c r="B12" s="16">
        <f>IF(INPUT!B12="","",INPUT!B12)</f>
        <v/>
      </c>
      <c r="C12" s="16">
        <f>IF(INPUT!C12="","",INPUT!C12)</f>
        <v/>
      </c>
      <c r="D12" s="16">
        <f>IF(INPUT!D12="","",INPUT!D12)</f>
        <v/>
      </c>
      <c r="E12" s="17">
        <f>IF(INPUT!E12="","",TEXT(INPUT!E12,"0000000000"))</f>
        <v/>
      </c>
      <c r="F12" s="4">
        <f>IF(E12="","",IF(COUNTIF(INDIRECT("PPI_"&amp;CONFIG!$B$4&amp;"!$A:$A"),VALUE(E12))&gt;0,"IN PPI","NOT IN PPI"))</f>
        <v/>
      </c>
      <c r="G12" s="4">
        <f>IF(F12="","","-")</f>
        <v/>
      </c>
      <c r="H12" s="4">
        <f>IF(INPUT!F12="","",INPUT!F12)</f>
        <v/>
      </c>
      <c r="I12" s="4">
        <f>IF(F12="","","N/A")</f>
        <v/>
      </c>
    </row>
    <row r="13" ht="15" customHeight="1">
      <c r="A13" s="14">
        <f>IF(INPUT!A13="","",INPUT!A13)</f>
        <v/>
      </c>
      <c r="B13" s="14">
        <f>IF(INPUT!B13="","",INPUT!B13)</f>
        <v/>
      </c>
      <c r="C13" s="14">
        <f>IF(INPUT!C13="","",INPUT!C13)</f>
        <v/>
      </c>
      <c r="D13" s="14">
        <f>IF(INPUT!D13="","",INPUT!D13)</f>
        <v/>
      </c>
      <c r="E13" s="15">
        <f>IF(INPUT!E13="","",TEXT(INPUT!E13,"0000000000"))</f>
        <v/>
      </c>
      <c r="F13" s="6">
        <f>IF(E13="","",IF(COUNTIF(INDIRECT("PPI_"&amp;CONFIG!$B$4&amp;"!$A:$A"),VALUE(E13))&gt;0,"IN PPI","NOT IN PPI"))</f>
        <v/>
      </c>
      <c r="G13" s="6">
        <f>IF(F13="","","-")</f>
        <v/>
      </c>
      <c r="H13" s="6">
        <f>IF(INPUT!F13="","",INPUT!F13)</f>
        <v/>
      </c>
      <c r="I13" s="6">
        <f>IF(F13="","","N/A")</f>
        <v/>
      </c>
    </row>
    <row r="14" ht="15" customHeight="1">
      <c r="A14" s="16">
        <f>IF(INPUT!A14="","",INPUT!A14)</f>
        <v/>
      </c>
      <c r="B14" s="16">
        <f>IF(INPUT!B14="","",INPUT!B14)</f>
        <v/>
      </c>
      <c r="C14" s="16">
        <f>IF(INPUT!C14="","",INPUT!C14)</f>
        <v/>
      </c>
      <c r="D14" s="16">
        <f>IF(INPUT!D14="","",INPUT!D14)</f>
        <v/>
      </c>
      <c r="E14" s="17">
        <f>IF(INPUT!E14="","",TEXT(INPUT!E14,"0000000000"))</f>
        <v/>
      </c>
      <c r="F14" s="4">
        <f>IF(E14="","",IF(COUNTIF(INDIRECT("PPI_"&amp;CONFIG!$B$4&amp;"!$A:$A"),VALUE(E14))&gt;0,"IN PPI","NOT IN PPI"))</f>
        <v/>
      </c>
      <c r="G14" s="4">
        <f>IF(F14="","","-")</f>
        <v/>
      </c>
      <c r="H14" s="4">
        <f>IF(INPUT!F14="","",INPUT!F14)</f>
        <v/>
      </c>
      <c r="I14" s="4">
        <f>IF(F14="","","N/A")</f>
        <v/>
      </c>
    </row>
    <row r="15" ht="15" customHeight="1">
      <c r="A15" s="14">
        <f>IF(INPUT!A15="","",INPUT!A15)</f>
        <v/>
      </c>
      <c r="B15" s="14">
        <f>IF(INPUT!B15="","",INPUT!B15)</f>
        <v/>
      </c>
      <c r="C15" s="14">
        <f>IF(INPUT!C15="","",INPUT!C15)</f>
        <v/>
      </c>
      <c r="D15" s="14">
        <f>IF(INPUT!D15="","",INPUT!D15)</f>
        <v/>
      </c>
      <c r="E15" s="15">
        <f>IF(INPUT!E15="","",TEXT(INPUT!E15,"0000000000"))</f>
        <v/>
      </c>
      <c r="F15" s="6">
        <f>IF(E15="","",IF(COUNTIF(INDIRECT("PPI_"&amp;CONFIG!$B$4&amp;"!$A:$A"),VALUE(E15))&gt;0,"IN PPI","NOT IN PPI"))</f>
        <v/>
      </c>
      <c r="G15" s="6">
        <f>IF(F15="","","-")</f>
        <v/>
      </c>
      <c r="H15" s="6">
        <f>IF(INPUT!F15="","",INPUT!F15)</f>
        <v/>
      </c>
      <c r="I15" s="6">
        <f>IF(F15="","","N/A")</f>
        <v/>
      </c>
    </row>
    <row r="16" ht="15" customHeight="1">
      <c r="A16" s="16">
        <f>IF(INPUT!A16="","",INPUT!A16)</f>
        <v/>
      </c>
      <c r="B16" s="16">
        <f>IF(INPUT!B16="","",INPUT!B16)</f>
        <v/>
      </c>
      <c r="C16" s="16">
        <f>IF(INPUT!C16="","",INPUT!C16)</f>
        <v/>
      </c>
      <c r="D16" s="16">
        <f>IF(INPUT!D16="","",INPUT!D16)</f>
        <v/>
      </c>
      <c r="E16" s="17">
        <f>IF(INPUT!E16="","",TEXT(INPUT!E16,"0000000000"))</f>
        <v/>
      </c>
      <c r="F16" s="4">
        <f>IF(E16="","",IF(COUNTIF(INDIRECT("PPI_"&amp;CONFIG!$B$4&amp;"!$A:$A"),VALUE(E16))&gt;0,"IN PPI","NOT IN PPI"))</f>
        <v/>
      </c>
      <c r="G16" s="4">
        <f>IF(F16="","","-")</f>
        <v/>
      </c>
      <c r="H16" s="4">
        <f>IF(INPUT!F16="","",INPUT!F16)</f>
        <v/>
      </c>
      <c r="I16" s="4">
        <f>IF(F16="","","N/A")</f>
        <v/>
      </c>
    </row>
    <row r="17" ht="15" customHeight="1">
      <c r="A17" s="14">
        <f>IF(INPUT!A17="","",INPUT!A17)</f>
        <v/>
      </c>
      <c r="B17" s="14">
        <f>IF(INPUT!B17="","",INPUT!B17)</f>
        <v/>
      </c>
      <c r="C17" s="14">
        <f>IF(INPUT!C17="","",INPUT!C17)</f>
        <v/>
      </c>
      <c r="D17" s="14">
        <f>IF(INPUT!D17="","",INPUT!D17)</f>
        <v/>
      </c>
      <c r="E17" s="15">
        <f>IF(INPUT!E17="","",TEXT(INPUT!E17,"0000000000"))</f>
        <v/>
      </c>
      <c r="F17" s="6">
        <f>IF(E17="","",IF(COUNTIF(INDIRECT("PPI_"&amp;CONFIG!$B$4&amp;"!$A:$A"),VALUE(E17))&gt;0,"IN PPI","NOT IN PPI"))</f>
        <v/>
      </c>
      <c r="G17" s="6">
        <f>IF(F17="","","-")</f>
        <v/>
      </c>
      <c r="H17" s="6">
        <f>IF(INPUT!F17="","",INPUT!F17)</f>
        <v/>
      </c>
      <c r="I17" s="6">
        <f>IF(F17="","","N/A")</f>
        <v/>
      </c>
    </row>
    <row r="18" ht="15" customHeight="1">
      <c r="A18" s="16">
        <f>IF(INPUT!A18="","",INPUT!A18)</f>
        <v/>
      </c>
      <c r="B18" s="16">
        <f>IF(INPUT!B18="","",INPUT!B18)</f>
        <v/>
      </c>
      <c r="C18" s="16">
        <f>IF(INPUT!C18="","",INPUT!C18)</f>
        <v/>
      </c>
      <c r="D18" s="16">
        <f>IF(INPUT!D18="","",INPUT!D18)</f>
        <v/>
      </c>
      <c r="E18" s="17">
        <f>IF(INPUT!E18="","",TEXT(INPUT!E18,"0000000000"))</f>
        <v/>
      </c>
      <c r="F18" s="4">
        <f>IF(E18="","",IF(COUNTIF(INDIRECT("PPI_"&amp;CONFIG!$B$4&amp;"!$A:$A"),VALUE(E18))&gt;0,"IN PPI","NOT IN PPI"))</f>
        <v/>
      </c>
      <c r="G18" s="4">
        <f>IF(F18="","","-")</f>
        <v/>
      </c>
      <c r="H18" s="4">
        <f>IF(INPUT!F18="","",INPUT!F18)</f>
        <v/>
      </c>
      <c r="I18" s="4">
        <f>IF(F18="","","N/A")</f>
        <v/>
      </c>
    </row>
    <row r="19" ht="15" customHeight="1">
      <c r="A19" s="14">
        <f>IF(INPUT!A19="","",INPUT!A19)</f>
        <v/>
      </c>
      <c r="B19" s="14">
        <f>IF(INPUT!B19="","",INPUT!B19)</f>
        <v/>
      </c>
      <c r="C19" s="14">
        <f>IF(INPUT!C19="","",INPUT!C19)</f>
        <v/>
      </c>
      <c r="D19" s="14">
        <f>IF(INPUT!D19="","",INPUT!D19)</f>
        <v/>
      </c>
      <c r="E19" s="15">
        <f>IF(INPUT!E19="","",TEXT(INPUT!E19,"0000000000"))</f>
        <v/>
      </c>
      <c r="F19" s="6">
        <f>IF(E19="","",IF(COUNTIF(INDIRECT("PPI_"&amp;CONFIG!$B$4&amp;"!$A:$A"),VALUE(E19))&gt;0,"IN PPI","NOT IN PPI"))</f>
        <v/>
      </c>
      <c r="G19" s="6">
        <f>IF(F19="","","-")</f>
        <v/>
      </c>
      <c r="H19" s="6">
        <f>IF(INPUT!F19="","",INPUT!F19)</f>
        <v/>
      </c>
      <c r="I19" s="6">
        <f>IF(F19="","","N/A")</f>
        <v/>
      </c>
    </row>
    <row r="20" ht="15" customHeight="1">
      <c r="A20" s="16">
        <f>IF(INPUT!A20="","",INPUT!A20)</f>
        <v/>
      </c>
      <c r="B20" s="16">
        <f>IF(INPUT!B20="","",INPUT!B20)</f>
        <v/>
      </c>
      <c r="C20" s="16">
        <f>IF(INPUT!C20="","",INPUT!C20)</f>
        <v/>
      </c>
      <c r="D20" s="16">
        <f>IF(INPUT!D20="","",INPUT!D20)</f>
        <v/>
      </c>
      <c r="E20" s="17">
        <f>IF(INPUT!E20="","",TEXT(INPUT!E20,"0000000000"))</f>
        <v/>
      </c>
      <c r="F20" s="4">
        <f>IF(E20="","",IF(COUNTIF(INDIRECT("PPI_"&amp;CONFIG!$B$4&amp;"!$A:$A"),VALUE(E20))&gt;0,"IN PPI","NOT IN PPI"))</f>
        <v/>
      </c>
      <c r="G20" s="4">
        <f>IF(F20="","","-")</f>
        <v/>
      </c>
      <c r="H20" s="4">
        <f>IF(INPUT!F20="","",INPUT!F20)</f>
        <v/>
      </c>
      <c r="I20" s="4">
        <f>IF(F20="","","N/A")</f>
        <v/>
      </c>
    </row>
    <row r="21" ht="15" customHeight="1">
      <c r="A21" s="14">
        <f>IF(INPUT!A21="","",INPUT!A21)</f>
        <v/>
      </c>
      <c r="B21" s="14">
        <f>IF(INPUT!B21="","",INPUT!B21)</f>
        <v/>
      </c>
      <c r="C21" s="14">
        <f>IF(INPUT!C21="","",INPUT!C21)</f>
        <v/>
      </c>
      <c r="D21" s="14">
        <f>IF(INPUT!D21="","",INPUT!D21)</f>
        <v/>
      </c>
      <c r="E21" s="15">
        <f>IF(INPUT!E21="","",TEXT(INPUT!E21,"0000000000"))</f>
        <v/>
      </c>
      <c r="F21" s="6">
        <f>IF(E21="","",IF(COUNTIF(INDIRECT("PPI_"&amp;CONFIG!$B$4&amp;"!$A:$A"),VALUE(E21))&gt;0,"IN PPI","NOT IN PPI"))</f>
        <v/>
      </c>
      <c r="G21" s="6">
        <f>IF(F21="","","-")</f>
        <v/>
      </c>
      <c r="H21" s="6">
        <f>IF(INPUT!F21="","",INPUT!F21)</f>
        <v/>
      </c>
      <c r="I21" s="6">
        <f>IF(F21="","","N/A")</f>
        <v/>
      </c>
    </row>
    <row r="22" ht="15" customHeight="1">
      <c r="A22" s="16">
        <f>IF(INPUT!A22="","",INPUT!A22)</f>
        <v/>
      </c>
      <c r="B22" s="16">
        <f>IF(INPUT!B22="","",INPUT!B22)</f>
        <v/>
      </c>
      <c r="C22" s="16">
        <f>IF(INPUT!C22="","",INPUT!C22)</f>
        <v/>
      </c>
      <c r="D22" s="16">
        <f>IF(INPUT!D22="","",INPUT!D22)</f>
        <v/>
      </c>
      <c r="E22" s="17">
        <f>IF(INPUT!E22="","",TEXT(INPUT!E22,"0000000000"))</f>
        <v/>
      </c>
      <c r="F22" s="4">
        <f>IF(E22="","",IF(COUNTIF(INDIRECT("PPI_"&amp;CONFIG!$B$4&amp;"!$A:$A"),VALUE(E22))&gt;0,"IN PPI","NOT IN PPI"))</f>
        <v/>
      </c>
      <c r="G22" s="4">
        <f>IF(F22="","","-")</f>
        <v/>
      </c>
      <c r="H22" s="4">
        <f>IF(INPUT!F22="","",INPUT!F22)</f>
        <v/>
      </c>
      <c r="I22" s="4">
        <f>IF(F22="","","N/A")</f>
        <v/>
      </c>
    </row>
    <row r="23" ht="15" customHeight="1">
      <c r="A23" s="14">
        <f>IF(INPUT!A23="","",INPUT!A23)</f>
        <v/>
      </c>
      <c r="B23" s="14">
        <f>IF(INPUT!B23="","",INPUT!B23)</f>
        <v/>
      </c>
      <c r="C23" s="14">
        <f>IF(INPUT!C23="","",INPUT!C23)</f>
        <v/>
      </c>
      <c r="D23" s="14">
        <f>IF(INPUT!D23="","",INPUT!D23)</f>
        <v/>
      </c>
      <c r="E23" s="15">
        <f>IF(INPUT!E23="","",TEXT(INPUT!E23,"0000000000"))</f>
        <v/>
      </c>
      <c r="F23" s="6">
        <f>IF(E23="","",IF(COUNTIF(INDIRECT("PPI_"&amp;CONFIG!$B$4&amp;"!$A:$A"),VALUE(E23))&gt;0,"IN PPI","NOT IN PPI"))</f>
        <v/>
      </c>
      <c r="G23" s="6">
        <f>IF(F23="","","-")</f>
        <v/>
      </c>
      <c r="H23" s="6">
        <f>IF(INPUT!F23="","",INPUT!F23)</f>
        <v/>
      </c>
      <c r="I23" s="6">
        <f>IF(F23="","","N/A")</f>
        <v/>
      </c>
    </row>
    <row r="24" ht="15" customHeight="1">
      <c r="A24" s="16">
        <f>IF(INPUT!A24="","",INPUT!A24)</f>
        <v/>
      </c>
      <c r="B24" s="16">
        <f>IF(INPUT!B24="","",INPUT!B24)</f>
        <v/>
      </c>
      <c r="C24" s="16">
        <f>IF(INPUT!C24="","",INPUT!C24)</f>
        <v/>
      </c>
      <c r="D24" s="16">
        <f>IF(INPUT!D24="","",INPUT!D24)</f>
        <v/>
      </c>
      <c r="E24" s="17">
        <f>IF(INPUT!E24="","",TEXT(INPUT!E24,"0000000000"))</f>
        <v/>
      </c>
      <c r="F24" s="4">
        <f>IF(E24="","",IF(COUNTIF(INDIRECT("PPI_"&amp;CONFIG!$B$4&amp;"!$A:$A"),VALUE(E24))&gt;0,"IN PPI","NOT IN PPI"))</f>
        <v/>
      </c>
      <c r="G24" s="4">
        <f>IF(F24="","","-")</f>
        <v/>
      </c>
      <c r="H24" s="4">
        <f>IF(INPUT!F24="","",INPUT!F24)</f>
        <v/>
      </c>
      <c r="I24" s="4">
        <f>IF(F24="","","N/A")</f>
        <v/>
      </c>
    </row>
    <row r="25" ht="15" customHeight="1">
      <c r="A25" s="14">
        <f>IF(INPUT!A25="","",INPUT!A25)</f>
        <v/>
      </c>
      <c r="B25" s="14">
        <f>IF(INPUT!B25="","",INPUT!B25)</f>
        <v/>
      </c>
      <c r="C25" s="14">
        <f>IF(INPUT!C25="","",INPUT!C25)</f>
        <v/>
      </c>
      <c r="D25" s="14">
        <f>IF(INPUT!D25="","",INPUT!D25)</f>
        <v/>
      </c>
      <c r="E25" s="15">
        <f>IF(INPUT!E25="","",TEXT(INPUT!E25,"0000000000"))</f>
        <v/>
      </c>
      <c r="F25" s="6">
        <f>IF(E25="","",IF(COUNTIF(INDIRECT("PPI_"&amp;CONFIG!$B$4&amp;"!$A:$A"),VALUE(E25))&gt;0,"IN PPI","NOT IN PPI"))</f>
        <v/>
      </c>
      <c r="G25" s="6">
        <f>IF(F25="","","-")</f>
        <v/>
      </c>
      <c r="H25" s="6">
        <f>IF(INPUT!F25="","",INPUT!F25)</f>
        <v/>
      </c>
      <c r="I25" s="6">
        <f>IF(F25="","","N/A")</f>
        <v/>
      </c>
    </row>
    <row r="26" ht="15" customHeight="1">
      <c r="A26" s="16">
        <f>IF(INPUT!A26="","",INPUT!A26)</f>
        <v/>
      </c>
      <c r="B26" s="16">
        <f>IF(INPUT!B26="","",INPUT!B26)</f>
        <v/>
      </c>
      <c r="C26" s="16">
        <f>IF(INPUT!C26="","",INPUT!C26)</f>
        <v/>
      </c>
      <c r="D26" s="16">
        <f>IF(INPUT!D26="","",INPUT!D26)</f>
        <v/>
      </c>
      <c r="E26" s="17">
        <f>IF(INPUT!E26="","",TEXT(INPUT!E26,"0000000000"))</f>
        <v/>
      </c>
      <c r="F26" s="4">
        <f>IF(E26="","",IF(COUNTIF(INDIRECT("PPI_"&amp;CONFIG!$B$4&amp;"!$A:$A"),VALUE(E26))&gt;0,"IN PPI","NOT IN PPI"))</f>
        <v/>
      </c>
      <c r="G26" s="4">
        <f>IF(F26="","","-")</f>
        <v/>
      </c>
      <c r="H26" s="4">
        <f>IF(INPUT!F26="","",INPUT!F26)</f>
        <v/>
      </c>
      <c r="I26" s="4">
        <f>IF(F26="","","N/A")</f>
        <v/>
      </c>
    </row>
    <row r="27" ht="15" customHeight="1">
      <c r="A27" s="14">
        <f>IF(INPUT!A27="","",INPUT!A27)</f>
        <v/>
      </c>
      <c r="B27" s="14">
        <f>IF(INPUT!B27="","",INPUT!B27)</f>
        <v/>
      </c>
      <c r="C27" s="14">
        <f>IF(INPUT!C27="","",INPUT!C27)</f>
        <v/>
      </c>
      <c r="D27" s="14">
        <f>IF(INPUT!D27="","",INPUT!D27)</f>
        <v/>
      </c>
      <c r="E27" s="15">
        <f>IF(INPUT!E27="","",TEXT(INPUT!E27,"0000000000"))</f>
        <v/>
      </c>
      <c r="F27" s="6">
        <f>IF(E27="","",IF(COUNTIF(INDIRECT("PPI_"&amp;CONFIG!$B$4&amp;"!$A:$A"),VALUE(E27))&gt;0,"IN PPI","NOT IN PPI"))</f>
        <v/>
      </c>
      <c r="G27" s="6">
        <f>IF(F27="","","-")</f>
        <v/>
      </c>
      <c r="H27" s="6">
        <f>IF(INPUT!F27="","",INPUT!F27)</f>
        <v/>
      </c>
      <c r="I27" s="6">
        <f>IF(F27="","","N/A")</f>
        <v/>
      </c>
    </row>
    <row r="28" ht="15" customHeight="1">
      <c r="A28" s="16">
        <f>IF(INPUT!A28="","",INPUT!A28)</f>
        <v/>
      </c>
      <c r="B28" s="16">
        <f>IF(INPUT!B28="","",INPUT!B28)</f>
        <v/>
      </c>
      <c r="C28" s="16">
        <f>IF(INPUT!C28="","",INPUT!C28)</f>
        <v/>
      </c>
      <c r="D28" s="16">
        <f>IF(INPUT!D28="","",INPUT!D28)</f>
        <v/>
      </c>
      <c r="E28" s="17">
        <f>IF(INPUT!E28="","",TEXT(INPUT!E28,"0000000000"))</f>
        <v/>
      </c>
      <c r="F28" s="4">
        <f>IF(E28="","",IF(COUNTIF(INDIRECT("PPI_"&amp;CONFIG!$B$4&amp;"!$A:$A"),VALUE(E28))&gt;0,"IN PPI","NOT IN PPI"))</f>
        <v/>
      </c>
      <c r="G28" s="4">
        <f>IF(F28="","","-")</f>
        <v/>
      </c>
      <c r="H28" s="4">
        <f>IF(INPUT!F28="","",INPUT!F28)</f>
        <v/>
      </c>
      <c r="I28" s="4">
        <f>IF(F28="","","N/A")</f>
        <v/>
      </c>
    </row>
    <row r="29" ht="15" customHeight="1">
      <c r="A29" s="14">
        <f>IF(INPUT!A29="","",INPUT!A29)</f>
        <v/>
      </c>
      <c r="B29" s="14">
        <f>IF(INPUT!B29="","",INPUT!B29)</f>
        <v/>
      </c>
      <c r="C29" s="14">
        <f>IF(INPUT!C29="","",INPUT!C29)</f>
        <v/>
      </c>
      <c r="D29" s="14">
        <f>IF(INPUT!D29="","",INPUT!D29)</f>
        <v/>
      </c>
      <c r="E29" s="15">
        <f>IF(INPUT!E29="","",TEXT(INPUT!E29,"0000000000"))</f>
        <v/>
      </c>
      <c r="F29" s="6">
        <f>IF(E29="","",IF(COUNTIF(INDIRECT("PPI_"&amp;CONFIG!$B$4&amp;"!$A:$A"),VALUE(E29))&gt;0,"IN PPI","NOT IN PPI"))</f>
        <v/>
      </c>
      <c r="G29" s="6">
        <f>IF(F29="","","-")</f>
        <v/>
      </c>
      <c r="H29" s="6">
        <f>IF(INPUT!F29="","",INPUT!F29)</f>
        <v/>
      </c>
      <c r="I29" s="6">
        <f>IF(F29="","","N/A")</f>
        <v/>
      </c>
    </row>
    <row r="30" ht="15" customHeight="1">
      <c r="A30" s="16">
        <f>IF(INPUT!A30="","",INPUT!A30)</f>
        <v/>
      </c>
      <c r="B30" s="16">
        <f>IF(INPUT!B30="","",INPUT!B30)</f>
        <v/>
      </c>
      <c r="C30" s="16">
        <f>IF(INPUT!C30="","",INPUT!C30)</f>
        <v/>
      </c>
      <c r="D30" s="16">
        <f>IF(INPUT!D30="","",INPUT!D30)</f>
        <v/>
      </c>
      <c r="E30" s="17">
        <f>IF(INPUT!E30="","",TEXT(INPUT!E30,"0000000000"))</f>
        <v/>
      </c>
      <c r="F30" s="4">
        <f>IF(E30="","",IF(COUNTIF(INDIRECT("PPI_"&amp;CONFIG!$B$4&amp;"!$A:$A"),VALUE(E30))&gt;0,"IN PPI","NOT IN PPI"))</f>
        <v/>
      </c>
      <c r="G30" s="4">
        <f>IF(F30="","","-")</f>
        <v/>
      </c>
      <c r="H30" s="4">
        <f>IF(INPUT!F30="","",INPUT!F30)</f>
        <v/>
      </c>
      <c r="I30" s="4">
        <f>IF(F30="","","N/A")</f>
        <v/>
      </c>
    </row>
    <row r="31" ht="15" customHeight="1">
      <c r="A31" s="14">
        <f>IF(INPUT!A31="","",INPUT!A31)</f>
        <v/>
      </c>
      <c r="B31" s="14">
        <f>IF(INPUT!B31="","",INPUT!B31)</f>
        <v/>
      </c>
      <c r="C31" s="14">
        <f>IF(INPUT!C31="","",INPUT!C31)</f>
        <v/>
      </c>
      <c r="D31" s="14">
        <f>IF(INPUT!D31="","",INPUT!D31)</f>
        <v/>
      </c>
      <c r="E31" s="15">
        <f>IF(INPUT!E31="","",TEXT(INPUT!E31,"0000000000"))</f>
        <v/>
      </c>
      <c r="F31" s="6">
        <f>IF(E31="","",IF(COUNTIF(INDIRECT("PPI_"&amp;CONFIG!$B$4&amp;"!$A:$A"),VALUE(E31))&gt;0,"IN PPI","NOT IN PPI"))</f>
        <v/>
      </c>
      <c r="G31" s="6">
        <f>IF(F31="","","-")</f>
        <v/>
      </c>
      <c r="H31" s="6">
        <f>IF(INPUT!F31="","",INPUT!F31)</f>
        <v/>
      </c>
      <c r="I31" s="6">
        <f>IF(F31="","","N/A")</f>
        <v/>
      </c>
    </row>
    <row r="32" ht="15" customHeight="1">
      <c r="A32" s="16">
        <f>IF(INPUT!A32="","",INPUT!A32)</f>
        <v/>
      </c>
      <c r="B32" s="16">
        <f>IF(INPUT!B32="","",INPUT!B32)</f>
        <v/>
      </c>
      <c r="C32" s="16">
        <f>IF(INPUT!C32="","",INPUT!C32)</f>
        <v/>
      </c>
      <c r="D32" s="16">
        <f>IF(INPUT!D32="","",INPUT!D32)</f>
        <v/>
      </c>
      <c r="E32" s="17">
        <f>IF(INPUT!E32="","",TEXT(INPUT!E32,"0000000000"))</f>
        <v/>
      </c>
      <c r="F32" s="4">
        <f>IF(E32="","",IF(COUNTIF(INDIRECT("PPI_"&amp;CONFIG!$B$4&amp;"!$A:$A"),VALUE(E32))&gt;0,"IN PPI","NOT IN PPI"))</f>
        <v/>
      </c>
      <c r="G32" s="4">
        <f>IF(F32="","","-")</f>
        <v/>
      </c>
      <c r="H32" s="4">
        <f>IF(INPUT!F32="","",INPUT!F32)</f>
        <v/>
      </c>
      <c r="I32" s="4">
        <f>IF(F32="","","N/A")</f>
        <v/>
      </c>
    </row>
    <row r="33" ht="15" customHeight="1">
      <c r="A33" s="14">
        <f>IF(INPUT!A33="","",INPUT!A33)</f>
        <v/>
      </c>
      <c r="B33" s="14">
        <f>IF(INPUT!B33="","",INPUT!B33)</f>
        <v/>
      </c>
      <c r="C33" s="14">
        <f>IF(INPUT!C33="","",INPUT!C33)</f>
        <v/>
      </c>
      <c r="D33" s="14">
        <f>IF(INPUT!D33="","",INPUT!D33)</f>
        <v/>
      </c>
      <c r="E33" s="15">
        <f>IF(INPUT!E33="","",TEXT(INPUT!E33,"0000000000"))</f>
        <v/>
      </c>
      <c r="F33" s="6">
        <f>IF(E33="","",IF(COUNTIF(INDIRECT("PPI_"&amp;CONFIG!$B$4&amp;"!$A:$A"),VALUE(E33))&gt;0,"IN PPI","NOT IN PPI"))</f>
        <v/>
      </c>
      <c r="G33" s="6">
        <f>IF(F33="","","-")</f>
        <v/>
      </c>
      <c r="H33" s="6">
        <f>IF(INPUT!F33="","",INPUT!F33)</f>
        <v/>
      </c>
      <c r="I33" s="6">
        <f>IF(F33="","","N/A")</f>
        <v/>
      </c>
    </row>
    <row r="34" ht="15" customHeight="1">
      <c r="A34" s="16">
        <f>IF(INPUT!A34="","",INPUT!A34)</f>
        <v/>
      </c>
      <c r="B34" s="16">
        <f>IF(INPUT!B34="","",INPUT!B34)</f>
        <v/>
      </c>
      <c r="C34" s="16">
        <f>IF(INPUT!C34="","",INPUT!C34)</f>
        <v/>
      </c>
      <c r="D34" s="16">
        <f>IF(INPUT!D34="","",INPUT!D34)</f>
        <v/>
      </c>
      <c r="E34" s="17">
        <f>IF(INPUT!E34="","",TEXT(INPUT!E34,"0000000000"))</f>
        <v/>
      </c>
      <c r="F34" s="4">
        <f>IF(E34="","",IF(COUNTIF(INDIRECT("PPI_"&amp;CONFIG!$B$4&amp;"!$A:$A"),VALUE(E34))&gt;0,"IN PPI","NOT IN PPI"))</f>
        <v/>
      </c>
      <c r="G34" s="4">
        <f>IF(F34="","","-")</f>
        <v/>
      </c>
      <c r="H34" s="4">
        <f>IF(INPUT!F34="","",INPUT!F34)</f>
        <v/>
      </c>
      <c r="I34" s="4">
        <f>IF(F34="","","N/A")</f>
        <v/>
      </c>
    </row>
    <row r="35" ht="15" customHeight="1">
      <c r="A35" s="14">
        <f>IF(INPUT!A35="","",INPUT!A35)</f>
        <v/>
      </c>
      <c r="B35" s="14">
        <f>IF(INPUT!B35="","",INPUT!B35)</f>
        <v/>
      </c>
      <c r="C35" s="14">
        <f>IF(INPUT!C35="","",INPUT!C35)</f>
        <v/>
      </c>
      <c r="D35" s="14">
        <f>IF(INPUT!D35="","",INPUT!D35)</f>
        <v/>
      </c>
      <c r="E35" s="15">
        <f>IF(INPUT!E35="","",TEXT(INPUT!E35,"0000000000"))</f>
        <v/>
      </c>
      <c r="F35" s="6">
        <f>IF(E35="","",IF(COUNTIF(INDIRECT("PPI_"&amp;CONFIG!$B$4&amp;"!$A:$A"),VALUE(E35))&gt;0,"IN PPI","NOT IN PPI"))</f>
        <v/>
      </c>
      <c r="G35" s="6">
        <f>IF(F35="","","-")</f>
        <v/>
      </c>
      <c r="H35" s="6">
        <f>IF(INPUT!F35="","",INPUT!F35)</f>
        <v/>
      </c>
      <c r="I35" s="6">
        <f>IF(F35="","","N/A")</f>
        <v/>
      </c>
    </row>
    <row r="36" ht="15" customHeight="1">
      <c r="A36" s="16">
        <f>IF(INPUT!A36="","",INPUT!A36)</f>
        <v/>
      </c>
      <c r="B36" s="16">
        <f>IF(INPUT!B36="","",INPUT!B36)</f>
        <v/>
      </c>
      <c r="C36" s="16">
        <f>IF(INPUT!C36="","",INPUT!C36)</f>
        <v/>
      </c>
      <c r="D36" s="16">
        <f>IF(INPUT!D36="","",INPUT!D36)</f>
        <v/>
      </c>
      <c r="E36" s="17">
        <f>IF(INPUT!E36="","",TEXT(INPUT!E36,"0000000000"))</f>
        <v/>
      </c>
      <c r="F36" s="4">
        <f>IF(E36="","",IF(COUNTIF(INDIRECT("PPI_"&amp;CONFIG!$B$4&amp;"!$A:$A"),VALUE(E36))&gt;0,"IN PPI","NOT IN PPI"))</f>
        <v/>
      </c>
      <c r="G36" s="4">
        <f>IF(F36="","","-")</f>
        <v/>
      </c>
      <c r="H36" s="4">
        <f>IF(INPUT!F36="","",INPUT!F36)</f>
        <v/>
      </c>
      <c r="I36" s="4">
        <f>IF(F36="","","N/A")</f>
        <v/>
      </c>
    </row>
    <row r="37" ht="15" customHeight="1">
      <c r="A37" s="14">
        <f>IF(INPUT!A37="","",INPUT!A37)</f>
        <v/>
      </c>
      <c r="B37" s="14">
        <f>IF(INPUT!B37="","",INPUT!B37)</f>
        <v/>
      </c>
      <c r="C37" s="14">
        <f>IF(INPUT!C37="","",INPUT!C37)</f>
        <v/>
      </c>
      <c r="D37" s="14">
        <f>IF(INPUT!D37="","",INPUT!D37)</f>
        <v/>
      </c>
      <c r="E37" s="15">
        <f>IF(INPUT!E37="","",TEXT(INPUT!E37,"0000000000"))</f>
        <v/>
      </c>
      <c r="F37" s="6">
        <f>IF(E37="","",IF(COUNTIF(INDIRECT("PPI_"&amp;CONFIG!$B$4&amp;"!$A:$A"),VALUE(E37))&gt;0,"IN PPI","NOT IN PPI"))</f>
        <v/>
      </c>
      <c r="G37" s="6">
        <f>IF(F37="","","-")</f>
        <v/>
      </c>
      <c r="H37" s="6">
        <f>IF(INPUT!F37="","",INPUT!F37)</f>
        <v/>
      </c>
      <c r="I37" s="6">
        <f>IF(F37="","","N/A")</f>
        <v/>
      </c>
    </row>
    <row r="38" ht="15" customHeight="1">
      <c r="A38" s="16">
        <f>IF(INPUT!A38="","",INPUT!A38)</f>
        <v/>
      </c>
      <c r="B38" s="16">
        <f>IF(INPUT!B38="","",INPUT!B38)</f>
        <v/>
      </c>
      <c r="C38" s="16">
        <f>IF(INPUT!C38="","",INPUT!C38)</f>
        <v/>
      </c>
      <c r="D38" s="16">
        <f>IF(INPUT!D38="","",INPUT!D38)</f>
        <v/>
      </c>
      <c r="E38" s="17">
        <f>IF(INPUT!E38="","",TEXT(INPUT!E38,"0000000000"))</f>
        <v/>
      </c>
      <c r="F38" s="4">
        <f>IF(E38="","",IF(COUNTIF(INDIRECT("PPI_"&amp;CONFIG!$B$4&amp;"!$A:$A"),VALUE(E38))&gt;0,"IN PPI","NOT IN PPI"))</f>
        <v/>
      </c>
      <c r="G38" s="4">
        <f>IF(F38="","","-")</f>
        <v/>
      </c>
      <c r="H38" s="4">
        <f>IF(INPUT!F38="","",INPUT!F38)</f>
        <v/>
      </c>
      <c r="I38" s="4">
        <f>IF(F38="","","N/A")</f>
        <v/>
      </c>
    </row>
    <row r="39" ht="15" customHeight="1">
      <c r="A39" s="14">
        <f>IF(INPUT!A39="","",INPUT!A39)</f>
        <v/>
      </c>
      <c r="B39" s="14">
        <f>IF(INPUT!B39="","",INPUT!B39)</f>
        <v/>
      </c>
      <c r="C39" s="14">
        <f>IF(INPUT!C39="","",INPUT!C39)</f>
        <v/>
      </c>
      <c r="D39" s="14">
        <f>IF(INPUT!D39="","",INPUT!D39)</f>
        <v/>
      </c>
      <c r="E39" s="15">
        <f>IF(INPUT!E39="","",TEXT(INPUT!E39,"0000000000"))</f>
        <v/>
      </c>
      <c r="F39" s="6">
        <f>IF(E39="","",IF(COUNTIF(INDIRECT("PPI_"&amp;CONFIG!$B$4&amp;"!$A:$A"),VALUE(E39))&gt;0,"IN PPI","NOT IN PPI"))</f>
        <v/>
      </c>
      <c r="G39" s="6">
        <f>IF(F39="","","-")</f>
        <v/>
      </c>
      <c r="H39" s="6">
        <f>IF(INPUT!F39="","",INPUT!F39)</f>
        <v/>
      </c>
      <c r="I39" s="6">
        <f>IF(F39="","","N/A")</f>
        <v/>
      </c>
    </row>
    <row r="40" ht="15" customHeight="1">
      <c r="A40" s="16">
        <f>IF(INPUT!A40="","",INPUT!A40)</f>
        <v/>
      </c>
      <c r="B40" s="16">
        <f>IF(INPUT!B40="","",INPUT!B40)</f>
        <v/>
      </c>
      <c r="C40" s="16">
        <f>IF(INPUT!C40="","",INPUT!C40)</f>
        <v/>
      </c>
      <c r="D40" s="16">
        <f>IF(INPUT!D40="","",INPUT!D40)</f>
        <v/>
      </c>
      <c r="E40" s="17">
        <f>IF(INPUT!E40="","",TEXT(INPUT!E40,"0000000000"))</f>
        <v/>
      </c>
      <c r="F40" s="4">
        <f>IF(E40="","",IF(COUNTIF(INDIRECT("PPI_"&amp;CONFIG!$B$4&amp;"!$A:$A"),VALUE(E40))&gt;0,"IN PPI","NOT IN PPI"))</f>
        <v/>
      </c>
      <c r="G40" s="4">
        <f>IF(F40="","","-")</f>
        <v/>
      </c>
      <c r="H40" s="4">
        <f>IF(INPUT!F40="","",INPUT!F40)</f>
        <v/>
      </c>
      <c r="I40" s="4">
        <f>IF(F40="","","N/A")</f>
        <v/>
      </c>
    </row>
    <row r="41" ht="15" customHeight="1">
      <c r="A41" s="14">
        <f>IF(INPUT!A41="","",INPUT!A41)</f>
        <v/>
      </c>
      <c r="B41" s="14">
        <f>IF(INPUT!B41="","",INPUT!B41)</f>
        <v/>
      </c>
      <c r="C41" s="14">
        <f>IF(INPUT!C41="","",INPUT!C41)</f>
        <v/>
      </c>
      <c r="D41" s="14">
        <f>IF(INPUT!D41="","",INPUT!D41)</f>
        <v/>
      </c>
      <c r="E41" s="15">
        <f>IF(INPUT!E41="","",TEXT(INPUT!E41,"0000000000"))</f>
        <v/>
      </c>
      <c r="F41" s="6">
        <f>IF(E41="","",IF(COUNTIF(INDIRECT("PPI_"&amp;CONFIG!$B$4&amp;"!$A:$A"),VALUE(E41))&gt;0,"IN PPI","NOT IN PPI"))</f>
        <v/>
      </c>
      <c r="G41" s="6">
        <f>IF(F41="","","-")</f>
        <v/>
      </c>
      <c r="H41" s="6">
        <f>IF(INPUT!F41="","",INPUT!F41)</f>
        <v/>
      </c>
      <c r="I41" s="6">
        <f>IF(F41="","","N/A")</f>
        <v/>
      </c>
    </row>
    <row r="42" ht="15" customHeight="1">
      <c r="A42" s="16">
        <f>IF(INPUT!A42="","",INPUT!A42)</f>
        <v/>
      </c>
      <c r="B42" s="16">
        <f>IF(INPUT!B42="","",INPUT!B42)</f>
        <v/>
      </c>
      <c r="C42" s="16">
        <f>IF(INPUT!C42="","",INPUT!C42)</f>
        <v/>
      </c>
      <c r="D42" s="16">
        <f>IF(INPUT!D42="","",INPUT!D42)</f>
        <v/>
      </c>
      <c r="E42" s="17">
        <f>IF(INPUT!E42="","",TEXT(INPUT!E42,"0000000000"))</f>
        <v/>
      </c>
      <c r="F42" s="4">
        <f>IF(E42="","",IF(COUNTIF(INDIRECT("PPI_"&amp;CONFIG!$B$4&amp;"!$A:$A"),VALUE(E42))&gt;0,"IN PPI","NOT IN PPI"))</f>
        <v/>
      </c>
      <c r="G42" s="4">
        <f>IF(F42="","","-")</f>
        <v/>
      </c>
      <c r="H42" s="4">
        <f>IF(INPUT!F42="","",INPUT!F42)</f>
        <v/>
      </c>
      <c r="I42" s="4">
        <f>IF(F42="","","N/A")</f>
        <v/>
      </c>
    </row>
    <row r="43" ht="15" customHeight="1">
      <c r="A43" s="14">
        <f>IF(INPUT!A43="","",INPUT!A43)</f>
        <v/>
      </c>
      <c r="B43" s="14">
        <f>IF(INPUT!B43="","",INPUT!B43)</f>
        <v/>
      </c>
      <c r="C43" s="14">
        <f>IF(INPUT!C43="","",INPUT!C43)</f>
        <v/>
      </c>
      <c r="D43" s="14">
        <f>IF(INPUT!D43="","",INPUT!D43)</f>
        <v/>
      </c>
      <c r="E43" s="15">
        <f>IF(INPUT!E43="","",TEXT(INPUT!E43,"0000000000"))</f>
        <v/>
      </c>
      <c r="F43" s="6">
        <f>IF(E43="","",IF(COUNTIF(INDIRECT("PPI_"&amp;CONFIG!$B$4&amp;"!$A:$A"),VALUE(E43))&gt;0,"IN PPI","NOT IN PPI"))</f>
        <v/>
      </c>
      <c r="G43" s="6">
        <f>IF(F43="","","-")</f>
        <v/>
      </c>
      <c r="H43" s="6">
        <f>IF(INPUT!F43="","",INPUT!F43)</f>
        <v/>
      </c>
      <c r="I43" s="6">
        <f>IF(F43="","","N/A")</f>
        <v/>
      </c>
    </row>
    <row r="44" ht="15" customHeight="1">
      <c r="A44" s="16">
        <f>IF(INPUT!A44="","",INPUT!A44)</f>
        <v/>
      </c>
      <c r="B44" s="16">
        <f>IF(INPUT!B44="","",INPUT!B44)</f>
        <v/>
      </c>
      <c r="C44" s="16">
        <f>IF(INPUT!C44="","",INPUT!C44)</f>
        <v/>
      </c>
      <c r="D44" s="16">
        <f>IF(INPUT!D44="","",INPUT!D44)</f>
        <v/>
      </c>
      <c r="E44" s="17">
        <f>IF(INPUT!E44="","",TEXT(INPUT!E44,"0000000000"))</f>
        <v/>
      </c>
      <c r="F44" s="4">
        <f>IF(E44="","",IF(COUNTIF(INDIRECT("PPI_"&amp;CONFIG!$B$4&amp;"!$A:$A"),VALUE(E44))&gt;0,"IN PPI","NOT IN PPI"))</f>
        <v/>
      </c>
      <c r="G44" s="4">
        <f>IF(F44="","","-")</f>
        <v/>
      </c>
      <c r="H44" s="4">
        <f>IF(INPUT!F44="","",INPUT!F44)</f>
        <v/>
      </c>
      <c r="I44" s="4">
        <f>IF(F44="","","N/A")</f>
        <v/>
      </c>
    </row>
    <row r="45" ht="15" customHeight="1">
      <c r="A45" s="14">
        <f>IF(INPUT!A45="","",INPUT!A45)</f>
        <v/>
      </c>
      <c r="B45" s="14">
        <f>IF(INPUT!B45="","",INPUT!B45)</f>
        <v/>
      </c>
      <c r="C45" s="14">
        <f>IF(INPUT!C45="","",INPUT!C45)</f>
        <v/>
      </c>
      <c r="D45" s="14">
        <f>IF(INPUT!D45="","",INPUT!D45)</f>
        <v/>
      </c>
      <c r="E45" s="15">
        <f>IF(INPUT!E45="","",TEXT(INPUT!E45,"0000000000"))</f>
        <v/>
      </c>
      <c r="F45" s="6">
        <f>IF(E45="","",IF(COUNTIF(INDIRECT("PPI_"&amp;CONFIG!$B$4&amp;"!$A:$A"),VALUE(E45))&gt;0,"IN PPI","NOT IN PPI"))</f>
        <v/>
      </c>
      <c r="G45" s="6">
        <f>IF(F45="","","-")</f>
        <v/>
      </c>
      <c r="H45" s="6">
        <f>IF(INPUT!F45="","",INPUT!F45)</f>
        <v/>
      </c>
      <c r="I45" s="6">
        <f>IF(F45="","","N/A")</f>
        <v/>
      </c>
    </row>
    <row r="46" ht="15" customHeight="1">
      <c r="A46" s="16">
        <f>IF(INPUT!A46="","",INPUT!A46)</f>
        <v/>
      </c>
      <c r="B46" s="16">
        <f>IF(INPUT!B46="","",INPUT!B46)</f>
        <v/>
      </c>
      <c r="C46" s="16">
        <f>IF(INPUT!C46="","",INPUT!C46)</f>
        <v/>
      </c>
      <c r="D46" s="16">
        <f>IF(INPUT!D46="","",INPUT!D46)</f>
        <v/>
      </c>
      <c r="E46" s="17">
        <f>IF(INPUT!E46="","",TEXT(INPUT!E46,"0000000000"))</f>
        <v/>
      </c>
      <c r="F46" s="4">
        <f>IF(E46="","",IF(COUNTIF(INDIRECT("PPI_"&amp;CONFIG!$B$4&amp;"!$A:$A"),VALUE(E46))&gt;0,"IN PPI","NOT IN PPI"))</f>
        <v/>
      </c>
      <c r="G46" s="4">
        <f>IF(F46="","","-")</f>
        <v/>
      </c>
      <c r="H46" s="4">
        <f>IF(INPUT!F46="","",INPUT!F46)</f>
        <v/>
      </c>
      <c r="I46" s="4">
        <f>IF(F46="","","N/A")</f>
        <v/>
      </c>
    </row>
    <row r="47" ht="15" customHeight="1">
      <c r="A47" s="14">
        <f>IF(INPUT!A47="","",INPUT!A47)</f>
        <v/>
      </c>
      <c r="B47" s="14">
        <f>IF(INPUT!B47="","",INPUT!B47)</f>
        <v/>
      </c>
      <c r="C47" s="14">
        <f>IF(INPUT!C47="","",INPUT!C47)</f>
        <v/>
      </c>
      <c r="D47" s="14">
        <f>IF(INPUT!D47="","",INPUT!D47)</f>
        <v/>
      </c>
      <c r="E47" s="15">
        <f>IF(INPUT!E47="","",TEXT(INPUT!E47,"0000000000"))</f>
        <v/>
      </c>
      <c r="F47" s="6">
        <f>IF(E47="","",IF(COUNTIF(INDIRECT("PPI_"&amp;CONFIG!$B$4&amp;"!$A:$A"),VALUE(E47))&gt;0,"IN PPI","NOT IN PPI"))</f>
        <v/>
      </c>
      <c r="G47" s="6">
        <f>IF(F47="","","-")</f>
        <v/>
      </c>
      <c r="H47" s="6">
        <f>IF(INPUT!F47="","",INPUT!F47)</f>
        <v/>
      </c>
      <c r="I47" s="6">
        <f>IF(F47="","","N/A")</f>
        <v/>
      </c>
    </row>
    <row r="48" ht="15" customHeight="1">
      <c r="A48" s="16">
        <f>IF(INPUT!A48="","",INPUT!A48)</f>
        <v/>
      </c>
      <c r="B48" s="16">
        <f>IF(INPUT!B48="","",INPUT!B48)</f>
        <v/>
      </c>
      <c r="C48" s="16">
        <f>IF(INPUT!C48="","",INPUT!C48)</f>
        <v/>
      </c>
      <c r="D48" s="16">
        <f>IF(INPUT!D48="","",INPUT!D48)</f>
        <v/>
      </c>
      <c r="E48" s="17">
        <f>IF(INPUT!E48="","",TEXT(INPUT!E48,"0000000000"))</f>
        <v/>
      </c>
      <c r="F48" s="4">
        <f>IF(E48="","",IF(COUNTIF(INDIRECT("PPI_"&amp;CONFIG!$B$4&amp;"!$A:$A"),VALUE(E48))&gt;0,"IN PPI","NOT IN PPI"))</f>
        <v/>
      </c>
      <c r="G48" s="4">
        <f>IF(F48="","","-")</f>
        <v/>
      </c>
      <c r="H48" s="4">
        <f>IF(INPUT!F48="","",INPUT!F48)</f>
        <v/>
      </c>
      <c r="I48" s="4">
        <f>IF(F48="","","N/A")</f>
        <v/>
      </c>
    </row>
    <row r="49" ht="15" customHeight="1">
      <c r="A49" s="14">
        <f>IF(INPUT!A49="","",INPUT!A49)</f>
        <v/>
      </c>
      <c r="B49" s="14">
        <f>IF(INPUT!B49="","",INPUT!B49)</f>
        <v/>
      </c>
      <c r="C49" s="14">
        <f>IF(INPUT!C49="","",INPUT!C49)</f>
        <v/>
      </c>
      <c r="D49" s="14">
        <f>IF(INPUT!D49="","",INPUT!D49)</f>
        <v/>
      </c>
      <c r="E49" s="15">
        <f>IF(INPUT!E49="","",TEXT(INPUT!E49,"0000000000"))</f>
        <v/>
      </c>
      <c r="F49" s="6">
        <f>IF(E49="","",IF(COUNTIF(INDIRECT("PPI_"&amp;CONFIG!$B$4&amp;"!$A:$A"),VALUE(E49))&gt;0,"IN PPI","NOT IN PPI"))</f>
        <v/>
      </c>
      <c r="G49" s="6">
        <f>IF(F49="","","-")</f>
        <v/>
      </c>
      <c r="H49" s="6">
        <f>IF(INPUT!F49="","",INPUT!F49)</f>
        <v/>
      </c>
      <c r="I49" s="6">
        <f>IF(F49="","","N/A")</f>
        <v/>
      </c>
    </row>
    <row r="50" ht="15" customHeight="1">
      <c r="A50" s="16">
        <f>IF(INPUT!A50="","",INPUT!A50)</f>
        <v/>
      </c>
      <c r="B50" s="16">
        <f>IF(INPUT!B50="","",INPUT!B50)</f>
        <v/>
      </c>
      <c r="C50" s="16">
        <f>IF(INPUT!C50="","",INPUT!C50)</f>
        <v/>
      </c>
      <c r="D50" s="16">
        <f>IF(INPUT!D50="","",INPUT!D50)</f>
        <v/>
      </c>
      <c r="E50" s="17">
        <f>IF(INPUT!E50="","",TEXT(INPUT!E50,"0000000000"))</f>
        <v/>
      </c>
      <c r="F50" s="4">
        <f>IF(E50="","",IF(COUNTIF(INDIRECT("PPI_"&amp;CONFIG!$B$4&amp;"!$A:$A"),VALUE(E50))&gt;0,"IN PPI","NOT IN PPI"))</f>
        <v/>
      </c>
      <c r="G50" s="4">
        <f>IF(F50="","","-")</f>
        <v/>
      </c>
      <c r="H50" s="4">
        <f>IF(INPUT!F50="","",INPUT!F50)</f>
        <v/>
      </c>
      <c r="I50" s="4">
        <f>IF(F50="","","N/A")</f>
        <v/>
      </c>
    </row>
    <row r="51" ht="15" customHeight="1">
      <c r="A51" s="14">
        <f>IF(INPUT!A51="","",INPUT!A51)</f>
        <v/>
      </c>
      <c r="B51" s="14">
        <f>IF(INPUT!B51="","",INPUT!B51)</f>
        <v/>
      </c>
      <c r="C51" s="14">
        <f>IF(INPUT!C51="","",INPUT!C51)</f>
        <v/>
      </c>
      <c r="D51" s="14">
        <f>IF(INPUT!D51="","",INPUT!D51)</f>
        <v/>
      </c>
      <c r="E51" s="15">
        <f>IF(INPUT!E51="","",TEXT(INPUT!E51,"0000000000"))</f>
        <v/>
      </c>
      <c r="F51" s="6">
        <f>IF(E51="","",IF(COUNTIF(INDIRECT("PPI_"&amp;CONFIG!$B$4&amp;"!$A:$A"),VALUE(E51))&gt;0,"IN PPI","NOT IN PPI"))</f>
        <v/>
      </c>
      <c r="G51" s="6">
        <f>IF(F51="","","-")</f>
        <v/>
      </c>
      <c r="H51" s="6">
        <f>IF(INPUT!F51="","",INPUT!F51)</f>
        <v/>
      </c>
      <c r="I51" s="6">
        <f>IF(F51="","","N/A")</f>
        <v/>
      </c>
    </row>
    <row r="52" ht="15" customHeight="1">
      <c r="A52" s="16">
        <f>IF(INPUT!A52="","",INPUT!A52)</f>
        <v/>
      </c>
      <c r="B52" s="16">
        <f>IF(INPUT!B52="","",INPUT!B52)</f>
        <v/>
      </c>
      <c r="C52" s="16">
        <f>IF(INPUT!C52="","",INPUT!C52)</f>
        <v/>
      </c>
      <c r="D52" s="16">
        <f>IF(INPUT!D52="","",INPUT!D52)</f>
        <v/>
      </c>
      <c r="E52" s="17">
        <f>IF(INPUT!E52="","",TEXT(INPUT!E52,"0000000000"))</f>
        <v/>
      </c>
      <c r="F52" s="4">
        <f>IF(E52="","",IF(COUNTIF(INDIRECT("PPI_"&amp;CONFIG!$B$4&amp;"!$A:$A"),VALUE(E52))&gt;0,"IN PPI","NOT IN PPI"))</f>
        <v/>
      </c>
      <c r="G52" s="4">
        <f>IF(F52="","","-")</f>
        <v/>
      </c>
      <c r="H52" s="4">
        <f>IF(INPUT!F52="","",INPUT!F52)</f>
        <v/>
      </c>
      <c r="I52" s="4">
        <f>IF(F52="","","N/A")</f>
        <v/>
      </c>
    </row>
    <row r="53" ht="15" customHeight="1">
      <c r="A53" s="14">
        <f>IF(INPUT!A53="","",INPUT!A53)</f>
        <v/>
      </c>
      <c r="B53" s="14">
        <f>IF(INPUT!B53="","",INPUT!B53)</f>
        <v/>
      </c>
      <c r="C53" s="14">
        <f>IF(INPUT!C53="","",INPUT!C53)</f>
        <v/>
      </c>
      <c r="D53" s="14">
        <f>IF(INPUT!D53="","",INPUT!D53)</f>
        <v/>
      </c>
      <c r="E53" s="15">
        <f>IF(INPUT!E53="","",TEXT(INPUT!E53,"0000000000"))</f>
        <v/>
      </c>
      <c r="F53" s="6">
        <f>IF(E53="","",IF(COUNTIF(INDIRECT("PPI_"&amp;CONFIG!$B$4&amp;"!$A:$A"),VALUE(E53))&gt;0,"IN PPI","NOT IN PPI"))</f>
        <v/>
      </c>
      <c r="G53" s="6">
        <f>IF(F53="","","-")</f>
        <v/>
      </c>
      <c r="H53" s="6">
        <f>IF(INPUT!F53="","",INPUT!F53)</f>
        <v/>
      </c>
      <c r="I53" s="6">
        <f>IF(F53="","","N/A")</f>
        <v/>
      </c>
    </row>
    <row r="54" ht="15" customHeight="1">
      <c r="A54" s="16">
        <f>IF(INPUT!A54="","",INPUT!A54)</f>
        <v/>
      </c>
      <c r="B54" s="16">
        <f>IF(INPUT!B54="","",INPUT!B54)</f>
        <v/>
      </c>
      <c r="C54" s="16">
        <f>IF(INPUT!C54="","",INPUT!C54)</f>
        <v/>
      </c>
      <c r="D54" s="16">
        <f>IF(INPUT!D54="","",INPUT!D54)</f>
        <v/>
      </c>
      <c r="E54" s="17">
        <f>IF(INPUT!E54="","",TEXT(INPUT!E54,"0000000000"))</f>
        <v/>
      </c>
      <c r="F54" s="4">
        <f>IF(E54="","",IF(COUNTIF(INDIRECT("PPI_"&amp;CONFIG!$B$4&amp;"!$A:$A"),VALUE(E54))&gt;0,"IN PPI","NOT IN PPI"))</f>
        <v/>
      </c>
      <c r="G54" s="4">
        <f>IF(F54="","","-")</f>
        <v/>
      </c>
      <c r="H54" s="4">
        <f>IF(INPUT!F54="","",INPUT!F54)</f>
        <v/>
      </c>
      <c r="I54" s="4">
        <f>IF(F54="","","N/A")</f>
        <v/>
      </c>
    </row>
    <row r="55" ht="15" customHeight="1">
      <c r="A55" s="14">
        <f>IF(INPUT!A55="","",INPUT!A55)</f>
        <v/>
      </c>
      <c r="B55" s="14">
        <f>IF(INPUT!B55="","",INPUT!B55)</f>
        <v/>
      </c>
      <c r="C55" s="14">
        <f>IF(INPUT!C55="","",INPUT!C55)</f>
        <v/>
      </c>
      <c r="D55" s="14">
        <f>IF(INPUT!D55="","",INPUT!D55)</f>
        <v/>
      </c>
      <c r="E55" s="15">
        <f>IF(INPUT!E55="","",TEXT(INPUT!E55,"0000000000"))</f>
        <v/>
      </c>
      <c r="F55" s="6">
        <f>IF(E55="","",IF(COUNTIF(INDIRECT("PPI_"&amp;CONFIG!$B$4&amp;"!$A:$A"),VALUE(E55))&gt;0,"IN PPI","NOT IN PPI"))</f>
        <v/>
      </c>
      <c r="G55" s="6">
        <f>IF(F55="","","-")</f>
        <v/>
      </c>
      <c r="H55" s="6">
        <f>IF(INPUT!F55="","",INPUT!F55)</f>
        <v/>
      </c>
      <c r="I55" s="6">
        <f>IF(F55="","","N/A")</f>
        <v/>
      </c>
    </row>
    <row r="56" ht="15" customHeight="1">
      <c r="A56" s="16">
        <f>IF(INPUT!A56="","",INPUT!A56)</f>
        <v/>
      </c>
      <c r="B56" s="16">
        <f>IF(INPUT!B56="","",INPUT!B56)</f>
        <v/>
      </c>
      <c r="C56" s="16">
        <f>IF(INPUT!C56="","",INPUT!C56)</f>
        <v/>
      </c>
      <c r="D56" s="16">
        <f>IF(INPUT!D56="","",INPUT!D56)</f>
        <v/>
      </c>
      <c r="E56" s="17">
        <f>IF(INPUT!E56="","",TEXT(INPUT!E56,"0000000000"))</f>
        <v/>
      </c>
      <c r="F56" s="4">
        <f>IF(E56="","",IF(COUNTIF(INDIRECT("PPI_"&amp;CONFIG!$B$4&amp;"!$A:$A"),VALUE(E56))&gt;0,"IN PPI","NOT IN PPI"))</f>
        <v/>
      </c>
      <c r="G56" s="4">
        <f>IF(F56="","","-")</f>
        <v/>
      </c>
      <c r="H56" s="4">
        <f>IF(INPUT!F56="","",INPUT!F56)</f>
        <v/>
      </c>
      <c r="I56" s="4">
        <f>IF(F56="","","N/A")</f>
        <v/>
      </c>
    </row>
    <row r="57" ht="15" customHeight="1">
      <c r="A57" s="14">
        <f>IF(INPUT!A57="","",INPUT!A57)</f>
        <v/>
      </c>
      <c r="B57" s="14">
        <f>IF(INPUT!B57="","",INPUT!B57)</f>
        <v/>
      </c>
      <c r="C57" s="14">
        <f>IF(INPUT!C57="","",INPUT!C57)</f>
        <v/>
      </c>
      <c r="D57" s="14">
        <f>IF(INPUT!D57="","",INPUT!D57)</f>
        <v/>
      </c>
      <c r="E57" s="15">
        <f>IF(INPUT!E57="","",TEXT(INPUT!E57,"0000000000"))</f>
        <v/>
      </c>
      <c r="F57" s="6">
        <f>IF(E57="","",IF(COUNTIF(INDIRECT("PPI_"&amp;CONFIG!$B$4&amp;"!$A:$A"),VALUE(E57))&gt;0,"IN PPI","NOT IN PPI"))</f>
        <v/>
      </c>
      <c r="G57" s="6">
        <f>IF(F57="","","-")</f>
        <v/>
      </c>
      <c r="H57" s="6">
        <f>IF(INPUT!F57="","",INPUT!F57)</f>
        <v/>
      </c>
      <c r="I57" s="6">
        <f>IF(F57="","","N/A")</f>
        <v/>
      </c>
    </row>
    <row r="58" ht="15" customHeight="1">
      <c r="A58" s="16">
        <f>IF(INPUT!A58="","",INPUT!A58)</f>
        <v/>
      </c>
      <c r="B58" s="16">
        <f>IF(INPUT!B58="","",INPUT!B58)</f>
        <v/>
      </c>
      <c r="C58" s="16">
        <f>IF(INPUT!C58="","",INPUT!C58)</f>
        <v/>
      </c>
      <c r="D58" s="16">
        <f>IF(INPUT!D58="","",INPUT!D58)</f>
        <v/>
      </c>
      <c r="E58" s="17">
        <f>IF(INPUT!E58="","",TEXT(INPUT!E58,"0000000000"))</f>
        <v/>
      </c>
      <c r="F58" s="4">
        <f>IF(E58="","",IF(COUNTIF(INDIRECT("PPI_"&amp;CONFIG!$B$4&amp;"!$A:$A"),VALUE(E58))&gt;0,"IN PPI","NOT IN PPI"))</f>
        <v/>
      </c>
      <c r="G58" s="4">
        <f>IF(F58="","","-")</f>
        <v/>
      </c>
      <c r="H58" s="4">
        <f>IF(INPUT!F58="","",INPUT!F58)</f>
        <v/>
      </c>
      <c r="I58" s="4">
        <f>IF(F58="","","N/A")</f>
        <v/>
      </c>
    </row>
    <row r="59" ht="15" customHeight="1">
      <c r="A59" s="14">
        <f>IF(INPUT!A59="","",INPUT!A59)</f>
        <v/>
      </c>
      <c r="B59" s="14">
        <f>IF(INPUT!B59="","",INPUT!B59)</f>
        <v/>
      </c>
      <c r="C59" s="14">
        <f>IF(INPUT!C59="","",INPUT!C59)</f>
        <v/>
      </c>
      <c r="D59" s="14">
        <f>IF(INPUT!D59="","",INPUT!D59)</f>
        <v/>
      </c>
      <c r="E59" s="15">
        <f>IF(INPUT!E59="","",TEXT(INPUT!E59,"0000000000"))</f>
        <v/>
      </c>
      <c r="F59" s="6">
        <f>IF(E59="","",IF(COUNTIF(INDIRECT("PPI_"&amp;CONFIG!$B$4&amp;"!$A:$A"),VALUE(E59))&gt;0,"IN PPI","NOT IN PPI"))</f>
        <v/>
      </c>
      <c r="G59" s="6">
        <f>IF(F59="","","-")</f>
        <v/>
      </c>
      <c r="H59" s="6">
        <f>IF(INPUT!F59="","",INPUT!F59)</f>
        <v/>
      </c>
      <c r="I59" s="6">
        <f>IF(F59="","","N/A")</f>
        <v/>
      </c>
    </row>
    <row r="60" ht="15" customHeight="1">
      <c r="A60" s="16">
        <f>IF(INPUT!A60="","",INPUT!A60)</f>
        <v/>
      </c>
      <c r="B60" s="16">
        <f>IF(INPUT!B60="","",INPUT!B60)</f>
        <v/>
      </c>
      <c r="C60" s="16">
        <f>IF(INPUT!C60="","",INPUT!C60)</f>
        <v/>
      </c>
      <c r="D60" s="16">
        <f>IF(INPUT!D60="","",INPUT!D60)</f>
        <v/>
      </c>
      <c r="E60" s="17">
        <f>IF(INPUT!E60="","",TEXT(INPUT!E60,"0000000000"))</f>
        <v/>
      </c>
      <c r="F60" s="4">
        <f>IF(E60="","",IF(COUNTIF(INDIRECT("PPI_"&amp;CONFIG!$B$4&amp;"!$A:$A"),VALUE(E60))&gt;0,"IN PPI","NOT IN PPI"))</f>
        <v/>
      </c>
      <c r="G60" s="4">
        <f>IF(F60="","","-")</f>
        <v/>
      </c>
      <c r="H60" s="4">
        <f>IF(INPUT!F60="","",INPUT!F60)</f>
        <v/>
      </c>
      <c r="I60" s="4">
        <f>IF(F60="","","N/A")</f>
        <v/>
      </c>
    </row>
    <row r="61" ht="15" customHeight="1">
      <c r="A61" s="14">
        <f>IF(INPUT!A61="","",INPUT!A61)</f>
        <v/>
      </c>
      <c r="B61" s="14">
        <f>IF(INPUT!B61="","",INPUT!B61)</f>
        <v/>
      </c>
      <c r="C61" s="14">
        <f>IF(INPUT!C61="","",INPUT!C61)</f>
        <v/>
      </c>
      <c r="D61" s="14">
        <f>IF(INPUT!D61="","",INPUT!D61)</f>
        <v/>
      </c>
      <c r="E61" s="15">
        <f>IF(INPUT!E61="","",TEXT(INPUT!E61,"0000000000"))</f>
        <v/>
      </c>
      <c r="F61" s="6">
        <f>IF(E61="","",IF(COUNTIF(INDIRECT("PPI_"&amp;CONFIG!$B$4&amp;"!$A:$A"),VALUE(E61))&gt;0,"IN PPI","NOT IN PPI"))</f>
        <v/>
      </c>
      <c r="G61" s="6">
        <f>IF(F61="","","-")</f>
        <v/>
      </c>
      <c r="H61" s="6">
        <f>IF(INPUT!F61="","",INPUT!F61)</f>
        <v/>
      </c>
      <c r="I61" s="6">
        <f>IF(F61="","","N/A")</f>
        <v/>
      </c>
    </row>
    <row r="62" ht="15" customHeight="1">
      <c r="A62" s="16">
        <f>IF(INPUT!A62="","",INPUT!A62)</f>
        <v/>
      </c>
      <c r="B62" s="16">
        <f>IF(INPUT!B62="","",INPUT!B62)</f>
        <v/>
      </c>
      <c r="C62" s="16">
        <f>IF(INPUT!C62="","",INPUT!C62)</f>
        <v/>
      </c>
      <c r="D62" s="16">
        <f>IF(INPUT!D62="","",INPUT!D62)</f>
        <v/>
      </c>
      <c r="E62" s="17">
        <f>IF(INPUT!E62="","",TEXT(INPUT!E62,"0000000000"))</f>
        <v/>
      </c>
      <c r="F62" s="4">
        <f>IF(E62="","",IF(COUNTIF(INDIRECT("PPI_"&amp;CONFIG!$B$4&amp;"!$A:$A"),VALUE(E62))&gt;0,"IN PPI","NOT IN PPI"))</f>
        <v/>
      </c>
      <c r="G62" s="4">
        <f>IF(F62="","","-")</f>
        <v/>
      </c>
      <c r="H62" s="4">
        <f>IF(INPUT!F62="","",INPUT!F62)</f>
        <v/>
      </c>
      <c r="I62" s="4">
        <f>IF(F62="","","N/A")</f>
        <v/>
      </c>
    </row>
    <row r="63" ht="15" customHeight="1">
      <c r="A63" s="14">
        <f>IF(INPUT!A63="","",INPUT!A63)</f>
        <v/>
      </c>
      <c r="B63" s="14">
        <f>IF(INPUT!B63="","",INPUT!B63)</f>
        <v/>
      </c>
      <c r="C63" s="14">
        <f>IF(INPUT!C63="","",INPUT!C63)</f>
        <v/>
      </c>
      <c r="D63" s="14">
        <f>IF(INPUT!D63="","",INPUT!D63)</f>
        <v/>
      </c>
      <c r="E63" s="15">
        <f>IF(INPUT!E63="","",TEXT(INPUT!E63,"0000000000"))</f>
        <v/>
      </c>
      <c r="F63" s="6">
        <f>IF(E63="","",IF(COUNTIF(INDIRECT("PPI_"&amp;CONFIG!$B$4&amp;"!$A:$A"),VALUE(E63))&gt;0,"IN PPI","NOT IN PPI"))</f>
        <v/>
      </c>
      <c r="G63" s="6">
        <f>IF(F63="","","-")</f>
        <v/>
      </c>
      <c r="H63" s="6">
        <f>IF(INPUT!F63="","",INPUT!F63)</f>
        <v/>
      </c>
      <c r="I63" s="6">
        <f>IF(F63="","","N/A")</f>
        <v/>
      </c>
    </row>
    <row r="64" ht="15" customHeight="1">
      <c r="A64" s="16">
        <f>IF(INPUT!A64="","",INPUT!A64)</f>
        <v/>
      </c>
      <c r="B64" s="16">
        <f>IF(INPUT!B64="","",INPUT!B64)</f>
        <v/>
      </c>
      <c r="C64" s="16">
        <f>IF(INPUT!C64="","",INPUT!C64)</f>
        <v/>
      </c>
      <c r="D64" s="16">
        <f>IF(INPUT!D64="","",INPUT!D64)</f>
        <v/>
      </c>
      <c r="E64" s="17">
        <f>IF(INPUT!E64="","",TEXT(INPUT!E64,"0000000000"))</f>
        <v/>
      </c>
      <c r="F64" s="4">
        <f>IF(E64="","",IF(COUNTIF(INDIRECT("PPI_"&amp;CONFIG!$B$4&amp;"!$A:$A"),VALUE(E64))&gt;0,"IN PPI","NOT IN PPI"))</f>
        <v/>
      </c>
      <c r="G64" s="4">
        <f>IF(F64="","","-")</f>
        <v/>
      </c>
      <c r="H64" s="4">
        <f>IF(INPUT!F64="","",INPUT!F64)</f>
        <v/>
      </c>
      <c r="I64" s="4">
        <f>IF(F64="","","N/A")</f>
        <v/>
      </c>
    </row>
    <row r="65" ht="15" customHeight="1">
      <c r="A65" s="14">
        <f>IF(INPUT!A65="","",INPUT!A65)</f>
        <v/>
      </c>
      <c r="B65" s="14">
        <f>IF(INPUT!B65="","",INPUT!B65)</f>
        <v/>
      </c>
      <c r="C65" s="14">
        <f>IF(INPUT!C65="","",INPUT!C65)</f>
        <v/>
      </c>
      <c r="D65" s="14">
        <f>IF(INPUT!D65="","",INPUT!D65)</f>
        <v/>
      </c>
      <c r="E65" s="15">
        <f>IF(INPUT!E65="","",TEXT(INPUT!E65,"0000000000"))</f>
        <v/>
      </c>
      <c r="F65" s="6">
        <f>IF(E65="","",IF(COUNTIF(INDIRECT("PPI_"&amp;CONFIG!$B$4&amp;"!$A:$A"),VALUE(E65))&gt;0,"IN PPI","NOT IN PPI"))</f>
        <v/>
      </c>
      <c r="G65" s="6">
        <f>IF(F65="","","-")</f>
        <v/>
      </c>
      <c r="H65" s="6">
        <f>IF(INPUT!F65="","",INPUT!F65)</f>
        <v/>
      </c>
      <c r="I65" s="6">
        <f>IF(F65="","","N/A")</f>
        <v/>
      </c>
    </row>
    <row r="66" ht="15" customHeight="1">
      <c r="A66" s="16">
        <f>IF(INPUT!A66="","",INPUT!A66)</f>
        <v/>
      </c>
      <c r="B66" s="16">
        <f>IF(INPUT!B66="","",INPUT!B66)</f>
        <v/>
      </c>
      <c r="C66" s="16">
        <f>IF(INPUT!C66="","",INPUT!C66)</f>
        <v/>
      </c>
      <c r="D66" s="16">
        <f>IF(INPUT!D66="","",INPUT!D66)</f>
        <v/>
      </c>
      <c r="E66" s="17">
        <f>IF(INPUT!E66="","",TEXT(INPUT!E66,"0000000000"))</f>
        <v/>
      </c>
      <c r="F66" s="4">
        <f>IF(E66="","",IF(COUNTIF(INDIRECT("PPI_"&amp;CONFIG!$B$4&amp;"!$A:$A"),VALUE(E66))&gt;0,"IN PPI","NOT IN PPI"))</f>
        <v/>
      </c>
      <c r="G66" s="4">
        <f>IF(F66="","","-")</f>
        <v/>
      </c>
      <c r="H66" s="4">
        <f>IF(INPUT!F66="","",INPUT!F66)</f>
        <v/>
      </c>
      <c r="I66" s="4">
        <f>IF(F66="","","N/A")</f>
        <v/>
      </c>
    </row>
    <row r="67" ht="15" customHeight="1">
      <c r="A67" s="14">
        <f>IF(INPUT!A67="","",INPUT!A67)</f>
        <v/>
      </c>
      <c r="B67" s="14">
        <f>IF(INPUT!B67="","",INPUT!B67)</f>
        <v/>
      </c>
      <c r="C67" s="14">
        <f>IF(INPUT!C67="","",INPUT!C67)</f>
        <v/>
      </c>
      <c r="D67" s="14">
        <f>IF(INPUT!D67="","",INPUT!D67)</f>
        <v/>
      </c>
      <c r="E67" s="15">
        <f>IF(INPUT!E67="","",TEXT(INPUT!E67,"0000000000"))</f>
        <v/>
      </c>
      <c r="F67" s="6">
        <f>IF(E67="","",IF(COUNTIF(INDIRECT("PPI_"&amp;CONFIG!$B$4&amp;"!$A:$A"),VALUE(E67))&gt;0,"IN PPI","NOT IN PPI"))</f>
        <v/>
      </c>
      <c r="G67" s="6">
        <f>IF(F67="","","-")</f>
        <v/>
      </c>
      <c r="H67" s="6">
        <f>IF(INPUT!F67="","",INPUT!F67)</f>
        <v/>
      </c>
      <c r="I67" s="6">
        <f>IF(F67="","","N/A")</f>
        <v/>
      </c>
    </row>
    <row r="68" ht="15" customHeight="1">
      <c r="A68" s="16">
        <f>IF(INPUT!A68="","",INPUT!A68)</f>
        <v/>
      </c>
      <c r="B68" s="16">
        <f>IF(INPUT!B68="","",INPUT!B68)</f>
        <v/>
      </c>
      <c r="C68" s="16">
        <f>IF(INPUT!C68="","",INPUT!C68)</f>
        <v/>
      </c>
      <c r="D68" s="16">
        <f>IF(INPUT!D68="","",INPUT!D68)</f>
        <v/>
      </c>
      <c r="E68" s="17">
        <f>IF(INPUT!E68="","",TEXT(INPUT!E68,"0000000000"))</f>
        <v/>
      </c>
      <c r="F68" s="4">
        <f>IF(E68="","",IF(COUNTIF(INDIRECT("PPI_"&amp;CONFIG!$B$4&amp;"!$A:$A"),VALUE(E68))&gt;0,"IN PPI","NOT IN PPI"))</f>
        <v/>
      </c>
      <c r="G68" s="4">
        <f>IF(F68="","","-")</f>
        <v/>
      </c>
      <c r="H68" s="4">
        <f>IF(INPUT!F68="","",INPUT!F68)</f>
        <v/>
      </c>
      <c r="I68" s="4">
        <f>IF(F68="","","N/A")</f>
        <v/>
      </c>
    </row>
    <row r="69" ht="15" customHeight="1">
      <c r="A69" s="14">
        <f>IF(INPUT!A69="","",INPUT!A69)</f>
        <v/>
      </c>
      <c r="B69" s="14">
        <f>IF(INPUT!B69="","",INPUT!B69)</f>
        <v/>
      </c>
      <c r="C69" s="14">
        <f>IF(INPUT!C69="","",INPUT!C69)</f>
        <v/>
      </c>
      <c r="D69" s="14">
        <f>IF(INPUT!D69="","",INPUT!D69)</f>
        <v/>
      </c>
      <c r="E69" s="15">
        <f>IF(INPUT!E69="","",TEXT(INPUT!E69,"0000000000"))</f>
        <v/>
      </c>
      <c r="F69" s="6">
        <f>IF(E69="","",IF(COUNTIF(INDIRECT("PPI_"&amp;CONFIG!$B$4&amp;"!$A:$A"),VALUE(E69))&gt;0,"IN PPI","NOT IN PPI"))</f>
        <v/>
      </c>
      <c r="G69" s="6">
        <f>IF(F69="","","-")</f>
        <v/>
      </c>
      <c r="H69" s="6">
        <f>IF(INPUT!F69="","",INPUT!F69)</f>
        <v/>
      </c>
      <c r="I69" s="6">
        <f>IF(F69="","","N/A")</f>
        <v/>
      </c>
    </row>
    <row r="70" ht="15" customHeight="1">
      <c r="A70" s="16">
        <f>IF(INPUT!A70="","",INPUT!A70)</f>
        <v/>
      </c>
      <c r="B70" s="16">
        <f>IF(INPUT!B70="","",INPUT!B70)</f>
        <v/>
      </c>
      <c r="C70" s="16">
        <f>IF(INPUT!C70="","",INPUT!C70)</f>
        <v/>
      </c>
      <c r="D70" s="16">
        <f>IF(INPUT!D70="","",INPUT!D70)</f>
        <v/>
      </c>
      <c r="E70" s="17">
        <f>IF(INPUT!E70="","",TEXT(INPUT!E70,"0000000000"))</f>
        <v/>
      </c>
      <c r="F70" s="4">
        <f>IF(E70="","",IF(COUNTIF(INDIRECT("PPI_"&amp;CONFIG!$B$4&amp;"!$A:$A"),VALUE(E70))&gt;0,"IN PPI","NOT IN PPI"))</f>
        <v/>
      </c>
      <c r="G70" s="4">
        <f>IF(F70="","","-")</f>
        <v/>
      </c>
      <c r="H70" s="4">
        <f>IF(INPUT!F70="","",INPUT!F70)</f>
        <v/>
      </c>
      <c r="I70" s="4">
        <f>IF(F70="","","N/A")</f>
        <v/>
      </c>
    </row>
    <row r="71" ht="15" customHeight="1">
      <c r="A71" s="14">
        <f>IF(INPUT!A71="","",INPUT!A71)</f>
        <v/>
      </c>
      <c r="B71" s="14">
        <f>IF(INPUT!B71="","",INPUT!B71)</f>
        <v/>
      </c>
      <c r="C71" s="14">
        <f>IF(INPUT!C71="","",INPUT!C71)</f>
        <v/>
      </c>
      <c r="D71" s="14">
        <f>IF(INPUT!D71="","",INPUT!D71)</f>
        <v/>
      </c>
      <c r="E71" s="15">
        <f>IF(INPUT!E71="","",TEXT(INPUT!E71,"0000000000"))</f>
        <v/>
      </c>
      <c r="F71" s="6">
        <f>IF(E71="","",IF(COUNTIF(INDIRECT("PPI_"&amp;CONFIG!$B$4&amp;"!$A:$A"),VALUE(E71))&gt;0,"IN PPI","NOT IN PPI"))</f>
        <v/>
      </c>
      <c r="G71" s="6">
        <f>IF(F71="","","-")</f>
        <v/>
      </c>
      <c r="H71" s="6">
        <f>IF(INPUT!F71="","",INPUT!F71)</f>
        <v/>
      </c>
      <c r="I71" s="6">
        <f>IF(F71="","","N/A")</f>
        <v/>
      </c>
    </row>
    <row r="72" ht="15" customHeight="1">
      <c r="A72" s="16">
        <f>IF(INPUT!A72="","",INPUT!A72)</f>
        <v/>
      </c>
      <c r="B72" s="16">
        <f>IF(INPUT!B72="","",INPUT!B72)</f>
        <v/>
      </c>
      <c r="C72" s="16">
        <f>IF(INPUT!C72="","",INPUT!C72)</f>
        <v/>
      </c>
      <c r="D72" s="16">
        <f>IF(INPUT!D72="","",INPUT!D72)</f>
        <v/>
      </c>
      <c r="E72" s="17">
        <f>IF(INPUT!E72="","",TEXT(INPUT!E72,"0000000000"))</f>
        <v/>
      </c>
      <c r="F72" s="4">
        <f>IF(E72="","",IF(COUNTIF(INDIRECT("PPI_"&amp;CONFIG!$B$4&amp;"!$A:$A"),VALUE(E72))&gt;0,"IN PPI","NOT IN PPI"))</f>
        <v/>
      </c>
      <c r="G72" s="4">
        <f>IF(F72="","","-")</f>
        <v/>
      </c>
      <c r="H72" s="4">
        <f>IF(INPUT!F72="","",INPUT!F72)</f>
        <v/>
      </c>
      <c r="I72" s="4">
        <f>IF(F72="","","N/A")</f>
        <v/>
      </c>
    </row>
    <row r="73" ht="15" customHeight="1">
      <c r="A73" s="14">
        <f>IF(INPUT!A73="","",INPUT!A73)</f>
        <v/>
      </c>
      <c r="B73" s="14">
        <f>IF(INPUT!B73="","",INPUT!B73)</f>
        <v/>
      </c>
      <c r="C73" s="14">
        <f>IF(INPUT!C73="","",INPUT!C73)</f>
        <v/>
      </c>
      <c r="D73" s="14">
        <f>IF(INPUT!D73="","",INPUT!D73)</f>
        <v/>
      </c>
      <c r="E73" s="15">
        <f>IF(INPUT!E73="","",TEXT(INPUT!E73,"0000000000"))</f>
        <v/>
      </c>
      <c r="F73" s="6">
        <f>IF(E73="","",IF(COUNTIF(INDIRECT("PPI_"&amp;CONFIG!$B$4&amp;"!$A:$A"),VALUE(E73))&gt;0,"IN PPI","NOT IN PPI"))</f>
        <v/>
      </c>
      <c r="G73" s="6">
        <f>IF(F73="","","-")</f>
        <v/>
      </c>
      <c r="H73" s="6">
        <f>IF(INPUT!F73="","",INPUT!F73)</f>
        <v/>
      </c>
      <c r="I73" s="6">
        <f>IF(F73="","","N/A")</f>
        <v/>
      </c>
    </row>
    <row r="74" ht="15" customHeight="1">
      <c r="A74" s="16">
        <f>IF(INPUT!A74="","",INPUT!A74)</f>
        <v/>
      </c>
      <c r="B74" s="16">
        <f>IF(INPUT!B74="","",INPUT!B74)</f>
        <v/>
      </c>
      <c r="C74" s="16">
        <f>IF(INPUT!C74="","",INPUT!C74)</f>
        <v/>
      </c>
      <c r="D74" s="16">
        <f>IF(INPUT!D74="","",INPUT!D74)</f>
        <v/>
      </c>
      <c r="E74" s="17">
        <f>IF(INPUT!E74="","",TEXT(INPUT!E74,"0000000000"))</f>
        <v/>
      </c>
      <c r="F74" s="4">
        <f>IF(E74="","",IF(COUNTIF(INDIRECT("PPI_"&amp;CONFIG!$B$4&amp;"!$A:$A"),VALUE(E74))&gt;0,"IN PPI","NOT IN PPI"))</f>
        <v/>
      </c>
      <c r="G74" s="4">
        <f>IF(F74="","","-")</f>
        <v/>
      </c>
      <c r="H74" s="4">
        <f>IF(INPUT!F74="","",INPUT!F74)</f>
        <v/>
      </c>
      <c r="I74" s="4">
        <f>IF(F74="","","N/A")</f>
        <v/>
      </c>
    </row>
    <row r="75" ht="15" customHeight="1">
      <c r="A75" s="14">
        <f>IF(INPUT!A75="","",INPUT!A75)</f>
        <v/>
      </c>
      <c r="B75" s="14">
        <f>IF(INPUT!B75="","",INPUT!B75)</f>
        <v/>
      </c>
      <c r="C75" s="14">
        <f>IF(INPUT!C75="","",INPUT!C75)</f>
        <v/>
      </c>
      <c r="D75" s="14">
        <f>IF(INPUT!D75="","",INPUT!D75)</f>
        <v/>
      </c>
      <c r="E75" s="15">
        <f>IF(INPUT!E75="","",TEXT(INPUT!E75,"0000000000"))</f>
        <v/>
      </c>
      <c r="F75" s="6">
        <f>IF(E75="","",IF(COUNTIF(INDIRECT("PPI_"&amp;CONFIG!$B$4&amp;"!$A:$A"),VALUE(E75))&gt;0,"IN PPI","NOT IN PPI"))</f>
        <v/>
      </c>
      <c r="G75" s="6">
        <f>IF(F75="","","-")</f>
        <v/>
      </c>
      <c r="H75" s="6">
        <f>IF(INPUT!F75="","",INPUT!F75)</f>
        <v/>
      </c>
      <c r="I75" s="6">
        <f>IF(F75="","","N/A")</f>
        <v/>
      </c>
    </row>
    <row r="76" ht="15" customHeight="1">
      <c r="A76" s="16">
        <f>IF(INPUT!A76="","",INPUT!A76)</f>
        <v/>
      </c>
      <c r="B76" s="16">
        <f>IF(INPUT!B76="","",INPUT!B76)</f>
        <v/>
      </c>
      <c r="C76" s="16">
        <f>IF(INPUT!C76="","",INPUT!C76)</f>
        <v/>
      </c>
      <c r="D76" s="16">
        <f>IF(INPUT!D76="","",INPUT!D76)</f>
        <v/>
      </c>
      <c r="E76" s="17">
        <f>IF(INPUT!E76="","",TEXT(INPUT!E76,"0000000000"))</f>
        <v/>
      </c>
      <c r="F76" s="4">
        <f>IF(E76="","",IF(COUNTIF(INDIRECT("PPI_"&amp;CONFIG!$B$4&amp;"!$A:$A"),VALUE(E76))&gt;0,"IN PPI","NOT IN PPI"))</f>
        <v/>
      </c>
      <c r="G76" s="4">
        <f>IF(F76="","","-")</f>
        <v/>
      </c>
      <c r="H76" s="4">
        <f>IF(INPUT!F76="","",INPUT!F76)</f>
        <v/>
      </c>
      <c r="I76" s="4">
        <f>IF(F76="","","N/A")</f>
        <v/>
      </c>
    </row>
    <row r="77" ht="15" customHeight="1">
      <c r="A77" s="14">
        <f>IF(INPUT!A77="","",INPUT!A77)</f>
        <v/>
      </c>
      <c r="B77" s="14">
        <f>IF(INPUT!B77="","",INPUT!B77)</f>
        <v/>
      </c>
      <c r="C77" s="14">
        <f>IF(INPUT!C77="","",INPUT!C77)</f>
        <v/>
      </c>
      <c r="D77" s="14">
        <f>IF(INPUT!D77="","",INPUT!D77)</f>
        <v/>
      </c>
      <c r="E77" s="15">
        <f>IF(INPUT!E77="","",TEXT(INPUT!E77,"0000000000"))</f>
        <v/>
      </c>
      <c r="F77" s="6">
        <f>IF(E77="","",IF(COUNTIF(INDIRECT("PPI_"&amp;CONFIG!$B$4&amp;"!$A:$A"),VALUE(E77))&gt;0,"IN PPI","NOT IN PPI"))</f>
        <v/>
      </c>
      <c r="G77" s="6">
        <f>IF(F77="","","-")</f>
        <v/>
      </c>
      <c r="H77" s="6">
        <f>IF(INPUT!F77="","",INPUT!F77)</f>
        <v/>
      </c>
      <c r="I77" s="6">
        <f>IF(F77="","","N/A")</f>
        <v/>
      </c>
    </row>
    <row r="78" ht="15" customHeight="1">
      <c r="A78" s="16">
        <f>IF(INPUT!A78="","",INPUT!A78)</f>
        <v/>
      </c>
      <c r="B78" s="16">
        <f>IF(INPUT!B78="","",INPUT!B78)</f>
        <v/>
      </c>
      <c r="C78" s="16">
        <f>IF(INPUT!C78="","",INPUT!C78)</f>
        <v/>
      </c>
      <c r="D78" s="16">
        <f>IF(INPUT!D78="","",INPUT!D78)</f>
        <v/>
      </c>
      <c r="E78" s="17">
        <f>IF(INPUT!E78="","",TEXT(INPUT!E78,"0000000000"))</f>
        <v/>
      </c>
      <c r="F78" s="4">
        <f>IF(E78="","",IF(COUNTIF(INDIRECT("PPI_"&amp;CONFIG!$B$4&amp;"!$A:$A"),VALUE(E78))&gt;0,"IN PPI","NOT IN PPI"))</f>
        <v/>
      </c>
      <c r="G78" s="4">
        <f>IF(F78="","","-")</f>
        <v/>
      </c>
      <c r="H78" s="4">
        <f>IF(INPUT!F78="","",INPUT!F78)</f>
        <v/>
      </c>
      <c r="I78" s="4">
        <f>IF(F78="","","N/A")</f>
        <v/>
      </c>
    </row>
    <row r="79" ht="15" customHeight="1">
      <c r="A79" s="14">
        <f>IF(INPUT!A79="","",INPUT!A79)</f>
        <v/>
      </c>
      <c r="B79" s="14">
        <f>IF(INPUT!B79="","",INPUT!B79)</f>
        <v/>
      </c>
      <c r="C79" s="14">
        <f>IF(INPUT!C79="","",INPUT!C79)</f>
        <v/>
      </c>
      <c r="D79" s="14">
        <f>IF(INPUT!D79="","",INPUT!D79)</f>
        <v/>
      </c>
      <c r="E79" s="15">
        <f>IF(INPUT!E79="","",TEXT(INPUT!E79,"0000000000"))</f>
        <v/>
      </c>
      <c r="F79" s="6">
        <f>IF(E79="","",IF(COUNTIF(INDIRECT("PPI_"&amp;CONFIG!$B$4&amp;"!$A:$A"),VALUE(E79))&gt;0,"IN PPI","NOT IN PPI"))</f>
        <v/>
      </c>
      <c r="G79" s="6">
        <f>IF(F79="","","-")</f>
        <v/>
      </c>
      <c r="H79" s="6">
        <f>IF(INPUT!F79="","",INPUT!F79)</f>
        <v/>
      </c>
      <c r="I79" s="6">
        <f>IF(F79="","","N/A")</f>
        <v/>
      </c>
    </row>
    <row r="80" ht="15" customHeight="1">
      <c r="A80" s="16">
        <f>IF(INPUT!A80="","",INPUT!A80)</f>
        <v/>
      </c>
      <c r="B80" s="16">
        <f>IF(INPUT!B80="","",INPUT!B80)</f>
        <v/>
      </c>
      <c r="C80" s="16">
        <f>IF(INPUT!C80="","",INPUT!C80)</f>
        <v/>
      </c>
      <c r="D80" s="16">
        <f>IF(INPUT!D80="","",INPUT!D80)</f>
        <v/>
      </c>
      <c r="E80" s="17">
        <f>IF(INPUT!E80="","",TEXT(INPUT!E80,"0000000000"))</f>
        <v/>
      </c>
      <c r="F80" s="4">
        <f>IF(E80="","",IF(COUNTIF(INDIRECT("PPI_"&amp;CONFIG!$B$4&amp;"!$A:$A"),VALUE(E80))&gt;0,"IN PPI","NOT IN PPI"))</f>
        <v/>
      </c>
      <c r="G80" s="4">
        <f>IF(F80="","","-")</f>
        <v/>
      </c>
      <c r="H80" s="4">
        <f>IF(INPUT!F80="","",INPUT!F80)</f>
        <v/>
      </c>
      <c r="I80" s="4">
        <f>IF(F80="","","N/A")</f>
        <v/>
      </c>
    </row>
    <row r="81" ht="15" customHeight="1">
      <c r="A81" s="14">
        <f>IF(INPUT!A81="","",INPUT!A81)</f>
        <v/>
      </c>
      <c r="B81" s="14">
        <f>IF(INPUT!B81="","",INPUT!B81)</f>
        <v/>
      </c>
      <c r="C81" s="14">
        <f>IF(INPUT!C81="","",INPUT!C81)</f>
        <v/>
      </c>
      <c r="D81" s="14">
        <f>IF(INPUT!D81="","",INPUT!D81)</f>
        <v/>
      </c>
      <c r="E81" s="15">
        <f>IF(INPUT!E81="","",TEXT(INPUT!E81,"0000000000"))</f>
        <v/>
      </c>
      <c r="F81" s="6">
        <f>IF(E81="","",IF(COUNTIF(INDIRECT("PPI_"&amp;CONFIG!$B$4&amp;"!$A:$A"),VALUE(E81))&gt;0,"IN PPI","NOT IN PPI"))</f>
        <v/>
      </c>
      <c r="G81" s="6">
        <f>IF(F81="","","-")</f>
        <v/>
      </c>
      <c r="H81" s="6">
        <f>IF(INPUT!F81="","",INPUT!F81)</f>
        <v/>
      </c>
      <c r="I81" s="6">
        <f>IF(F81="","","N/A")</f>
        <v/>
      </c>
    </row>
    <row r="82" ht="15" customHeight="1">
      <c r="A82" s="16">
        <f>IF(INPUT!A82="","",INPUT!A82)</f>
        <v/>
      </c>
      <c r="B82" s="16">
        <f>IF(INPUT!B82="","",INPUT!B82)</f>
        <v/>
      </c>
      <c r="C82" s="16">
        <f>IF(INPUT!C82="","",INPUT!C82)</f>
        <v/>
      </c>
      <c r="D82" s="16">
        <f>IF(INPUT!D82="","",INPUT!D82)</f>
        <v/>
      </c>
      <c r="E82" s="17">
        <f>IF(INPUT!E82="","",TEXT(INPUT!E82,"0000000000"))</f>
        <v/>
      </c>
      <c r="F82" s="4">
        <f>IF(E82="","",IF(COUNTIF(INDIRECT("PPI_"&amp;CONFIG!$B$4&amp;"!$A:$A"),VALUE(E82))&gt;0,"IN PPI","NOT IN PPI"))</f>
        <v/>
      </c>
      <c r="G82" s="4">
        <f>IF(F82="","","-")</f>
        <v/>
      </c>
      <c r="H82" s="4">
        <f>IF(INPUT!F82="","",INPUT!F82)</f>
        <v/>
      </c>
      <c r="I82" s="4">
        <f>IF(F82="","","N/A")</f>
        <v/>
      </c>
    </row>
    <row r="83" ht="15" customHeight="1">
      <c r="A83" s="14">
        <f>IF(INPUT!A83="","",INPUT!A83)</f>
        <v/>
      </c>
      <c r="B83" s="14">
        <f>IF(INPUT!B83="","",INPUT!B83)</f>
        <v/>
      </c>
      <c r="C83" s="14">
        <f>IF(INPUT!C83="","",INPUT!C83)</f>
        <v/>
      </c>
      <c r="D83" s="14">
        <f>IF(INPUT!D83="","",INPUT!D83)</f>
        <v/>
      </c>
      <c r="E83" s="15">
        <f>IF(INPUT!E83="","",TEXT(INPUT!E83,"0000000000"))</f>
        <v/>
      </c>
      <c r="F83" s="6">
        <f>IF(E83="","",IF(COUNTIF(INDIRECT("PPI_"&amp;CONFIG!$B$4&amp;"!$A:$A"),VALUE(E83))&gt;0,"IN PPI","NOT IN PPI"))</f>
        <v/>
      </c>
      <c r="G83" s="6">
        <f>IF(F83="","","-")</f>
        <v/>
      </c>
      <c r="H83" s="6">
        <f>IF(INPUT!F83="","",INPUT!F83)</f>
        <v/>
      </c>
      <c r="I83" s="6">
        <f>IF(F83="","","N/A")</f>
        <v/>
      </c>
    </row>
    <row r="84" ht="15" customHeight="1">
      <c r="A84" s="16">
        <f>IF(INPUT!A84="","",INPUT!A84)</f>
        <v/>
      </c>
      <c r="B84" s="16">
        <f>IF(INPUT!B84="","",INPUT!B84)</f>
        <v/>
      </c>
      <c r="C84" s="16">
        <f>IF(INPUT!C84="","",INPUT!C84)</f>
        <v/>
      </c>
      <c r="D84" s="16">
        <f>IF(INPUT!D84="","",INPUT!D84)</f>
        <v/>
      </c>
      <c r="E84" s="17">
        <f>IF(INPUT!E84="","",TEXT(INPUT!E84,"0000000000"))</f>
        <v/>
      </c>
      <c r="F84" s="4">
        <f>IF(E84="","",IF(COUNTIF(INDIRECT("PPI_"&amp;CONFIG!$B$4&amp;"!$A:$A"),VALUE(E84))&gt;0,"IN PPI","NOT IN PPI"))</f>
        <v/>
      </c>
      <c r="G84" s="4">
        <f>IF(F84="","","-")</f>
        <v/>
      </c>
      <c r="H84" s="4">
        <f>IF(INPUT!F84="","",INPUT!F84)</f>
        <v/>
      </c>
      <c r="I84" s="4">
        <f>IF(F84="","","N/A")</f>
        <v/>
      </c>
    </row>
    <row r="85" ht="15" customHeight="1">
      <c r="A85" s="14">
        <f>IF(INPUT!A85="","",INPUT!A85)</f>
        <v/>
      </c>
      <c r="B85" s="14">
        <f>IF(INPUT!B85="","",INPUT!B85)</f>
        <v/>
      </c>
      <c r="C85" s="14">
        <f>IF(INPUT!C85="","",INPUT!C85)</f>
        <v/>
      </c>
      <c r="D85" s="14">
        <f>IF(INPUT!D85="","",INPUT!D85)</f>
        <v/>
      </c>
      <c r="E85" s="15">
        <f>IF(INPUT!E85="","",TEXT(INPUT!E85,"0000000000"))</f>
        <v/>
      </c>
      <c r="F85" s="6">
        <f>IF(E85="","",IF(COUNTIF(INDIRECT("PPI_"&amp;CONFIG!$B$4&amp;"!$A:$A"),VALUE(E85))&gt;0,"IN PPI","NOT IN PPI"))</f>
        <v/>
      </c>
      <c r="G85" s="6">
        <f>IF(F85="","","-")</f>
        <v/>
      </c>
      <c r="H85" s="6">
        <f>IF(INPUT!F85="","",INPUT!F85)</f>
        <v/>
      </c>
      <c r="I85" s="6">
        <f>IF(F85="","","N/A")</f>
        <v/>
      </c>
    </row>
    <row r="86" ht="15" customHeight="1">
      <c r="A86" s="16">
        <f>IF(INPUT!A86="","",INPUT!A86)</f>
        <v/>
      </c>
      <c r="B86" s="16">
        <f>IF(INPUT!B86="","",INPUT!B86)</f>
        <v/>
      </c>
      <c r="C86" s="16">
        <f>IF(INPUT!C86="","",INPUT!C86)</f>
        <v/>
      </c>
      <c r="D86" s="16">
        <f>IF(INPUT!D86="","",INPUT!D86)</f>
        <v/>
      </c>
      <c r="E86" s="17">
        <f>IF(INPUT!E86="","",TEXT(INPUT!E86,"0000000000"))</f>
        <v/>
      </c>
      <c r="F86" s="4">
        <f>IF(E86="","",IF(COUNTIF(INDIRECT("PPI_"&amp;CONFIG!$B$4&amp;"!$A:$A"),VALUE(E86))&gt;0,"IN PPI","NOT IN PPI"))</f>
        <v/>
      </c>
      <c r="G86" s="4">
        <f>IF(F86="","","-")</f>
        <v/>
      </c>
      <c r="H86" s="4">
        <f>IF(INPUT!F86="","",INPUT!F86)</f>
        <v/>
      </c>
      <c r="I86" s="4">
        <f>IF(F86="","","N/A")</f>
        <v/>
      </c>
    </row>
    <row r="87" ht="15" customHeight="1">
      <c r="A87" s="14">
        <f>IF(INPUT!A87="","",INPUT!A87)</f>
        <v/>
      </c>
      <c r="B87" s="14">
        <f>IF(INPUT!B87="","",INPUT!B87)</f>
        <v/>
      </c>
      <c r="C87" s="14">
        <f>IF(INPUT!C87="","",INPUT!C87)</f>
        <v/>
      </c>
      <c r="D87" s="14">
        <f>IF(INPUT!D87="","",INPUT!D87)</f>
        <v/>
      </c>
      <c r="E87" s="15">
        <f>IF(INPUT!E87="","",TEXT(INPUT!E87,"0000000000"))</f>
        <v/>
      </c>
      <c r="F87" s="6">
        <f>IF(E87="","",IF(COUNTIF(INDIRECT("PPI_"&amp;CONFIG!$B$4&amp;"!$A:$A"),VALUE(E87))&gt;0,"IN PPI","NOT IN PPI"))</f>
        <v/>
      </c>
      <c r="G87" s="6">
        <f>IF(F87="","","-")</f>
        <v/>
      </c>
      <c r="H87" s="6">
        <f>IF(INPUT!F87="","",INPUT!F87)</f>
        <v/>
      </c>
      <c r="I87" s="6">
        <f>IF(F87="","","N/A")</f>
        <v/>
      </c>
    </row>
    <row r="88" ht="15" customHeight="1">
      <c r="A88" s="16">
        <f>IF(INPUT!A88="","",INPUT!A88)</f>
        <v/>
      </c>
      <c r="B88" s="16">
        <f>IF(INPUT!B88="","",INPUT!B88)</f>
        <v/>
      </c>
      <c r="C88" s="16">
        <f>IF(INPUT!C88="","",INPUT!C88)</f>
        <v/>
      </c>
      <c r="D88" s="16">
        <f>IF(INPUT!D88="","",INPUT!D88)</f>
        <v/>
      </c>
      <c r="E88" s="17">
        <f>IF(INPUT!E88="","",TEXT(INPUT!E88,"0000000000"))</f>
        <v/>
      </c>
      <c r="F88" s="4">
        <f>IF(E88="","",IF(COUNTIF(INDIRECT("PPI_"&amp;CONFIG!$B$4&amp;"!$A:$A"),VALUE(E88))&gt;0,"IN PPI","NOT IN PPI"))</f>
        <v/>
      </c>
      <c r="G88" s="4">
        <f>IF(F88="","","-")</f>
        <v/>
      </c>
      <c r="H88" s="4">
        <f>IF(INPUT!F88="","",INPUT!F88)</f>
        <v/>
      </c>
      <c r="I88" s="4">
        <f>IF(F88="","","N/A")</f>
        <v/>
      </c>
    </row>
    <row r="89" ht="15" customHeight="1">
      <c r="A89" s="14">
        <f>IF(INPUT!A89="","",INPUT!A89)</f>
        <v/>
      </c>
      <c r="B89" s="14">
        <f>IF(INPUT!B89="","",INPUT!B89)</f>
        <v/>
      </c>
      <c r="C89" s="14">
        <f>IF(INPUT!C89="","",INPUT!C89)</f>
        <v/>
      </c>
      <c r="D89" s="14">
        <f>IF(INPUT!D89="","",INPUT!D89)</f>
        <v/>
      </c>
      <c r="E89" s="15">
        <f>IF(INPUT!E89="","",TEXT(INPUT!E89,"0000000000"))</f>
        <v/>
      </c>
      <c r="F89" s="6">
        <f>IF(E89="","",IF(COUNTIF(INDIRECT("PPI_"&amp;CONFIG!$B$4&amp;"!$A:$A"),VALUE(E89))&gt;0,"IN PPI","NOT IN PPI"))</f>
        <v/>
      </c>
      <c r="G89" s="6">
        <f>IF(F89="","","-")</f>
        <v/>
      </c>
      <c r="H89" s="6">
        <f>IF(INPUT!F89="","",INPUT!F89)</f>
        <v/>
      </c>
      <c r="I89" s="6">
        <f>IF(F89="","","N/A")</f>
        <v/>
      </c>
    </row>
    <row r="90" ht="15" customHeight="1">
      <c r="A90" s="16">
        <f>IF(INPUT!A90="","",INPUT!A90)</f>
        <v/>
      </c>
      <c r="B90" s="16">
        <f>IF(INPUT!B90="","",INPUT!B90)</f>
        <v/>
      </c>
      <c r="C90" s="16">
        <f>IF(INPUT!C90="","",INPUT!C90)</f>
        <v/>
      </c>
      <c r="D90" s="16">
        <f>IF(INPUT!D90="","",INPUT!D90)</f>
        <v/>
      </c>
      <c r="E90" s="17">
        <f>IF(INPUT!E90="","",TEXT(INPUT!E90,"0000000000"))</f>
        <v/>
      </c>
      <c r="F90" s="4">
        <f>IF(E90="","",IF(COUNTIF(INDIRECT("PPI_"&amp;CONFIG!$B$4&amp;"!$A:$A"),VALUE(E90))&gt;0,"IN PPI","NOT IN PPI"))</f>
        <v/>
      </c>
      <c r="G90" s="4">
        <f>IF(F90="","","-")</f>
        <v/>
      </c>
      <c r="H90" s="4">
        <f>IF(INPUT!F90="","",INPUT!F90)</f>
        <v/>
      </c>
      <c r="I90" s="4">
        <f>IF(F90="","","N/A")</f>
        <v/>
      </c>
    </row>
    <row r="91" ht="15" customHeight="1">
      <c r="A91" s="14">
        <f>IF(INPUT!A91="","",INPUT!A91)</f>
        <v/>
      </c>
      <c r="B91" s="14">
        <f>IF(INPUT!B91="","",INPUT!B91)</f>
        <v/>
      </c>
      <c r="C91" s="14">
        <f>IF(INPUT!C91="","",INPUT!C91)</f>
        <v/>
      </c>
      <c r="D91" s="14">
        <f>IF(INPUT!D91="","",INPUT!D91)</f>
        <v/>
      </c>
      <c r="E91" s="15">
        <f>IF(INPUT!E91="","",TEXT(INPUT!E91,"0000000000"))</f>
        <v/>
      </c>
      <c r="F91" s="6">
        <f>IF(E91="","",IF(COUNTIF(INDIRECT("PPI_"&amp;CONFIG!$B$4&amp;"!$A:$A"),VALUE(E91))&gt;0,"IN PPI","NOT IN PPI"))</f>
        <v/>
      </c>
      <c r="G91" s="6">
        <f>IF(F91="","","-")</f>
        <v/>
      </c>
      <c r="H91" s="6">
        <f>IF(INPUT!F91="","",INPUT!F91)</f>
        <v/>
      </c>
      <c r="I91" s="6">
        <f>IF(F91="","","N/A")</f>
        <v/>
      </c>
    </row>
    <row r="92" ht="15" customHeight="1">
      <c r="A92" s="16">
        <f>IF(INPUT!A92="","",INPUT!A92)</f>
        <v/>
      </c>
      <c r="B92" s="16">
        <f>IF(INPUT!B92="","",INPUT!B92)</f>
        <v/>
      </c>
      <c r="C92" s="16">
        <f>IF(INPUT!C92="","",INPUT!C92)</f>
        <v/>
      </c>
      <c r="D92" s="16">
        <f>IF(INPUT!D92="","",INPUT!D92)</f>
        <v/>
      </c>
      <c r="E92" s="17">
        <f>IF(INPUT!E92="","",TEXT(INPUT!E92,"0000000000"))</f>
        <v/>
      </c>
      <c r="F92" s="4">
        <f>IF(E92="","",IF(COUNTIF(INDIRECT("PPI_"&amp;CONFIG!$B$4&amp;"!$A:$A"),VALUE(E92))&gt;0,"IN PPI","NOT IN PPI"))</f>
        <v/>
      </c>
      <c r="G92" s="4">
        <f>IF(F92="","","-")</f>
        <v/>
      </c>
      <c r="H92" s="4">
        <f>IF(INPUT!F92="","",INPUT!F92)</f>
        <v/>
      </c>
      <c r="I92" s="4">
        <f>IF(F92="","","N/A")</f>
        <v/>
      </c>
    </row>
    <row r="93" ht="15" customHeight="1">
      <c r="A93" s="14">
        <f>IF(INPUT!A93="","",INPUT!A93)</f>
        <v/>
      </c>
      <c r="B93" s="14">
        <f>IF(INPUT!B93="","",INPUT!B93)</f>
        <v/>
      </c>
      <c r="C93" s="14">
        <f>IF(INPUT!C93="","",INPUT!C93)</f>
        <v/>
      </c>
      <c r="D93" s="14">
        <f>IF(INPUT!D93="","",INPUT!D93)</f>
        <v/>
      </c>
      <c r="E93" s="15">
        <f>IF(INPUT!E93="","",TEXT(INPUT!E93,"0000000000"))</f>
        <v/>
      </c>
      <c r="F93" s="6">
        <f>IF(E93="","",IF(COUNTIF(INDIRECT("PPI_"&amp;CONFIG!$B$4&amp;"!$A:$A"),VALUE(E93))&gt;0,"IN PPI","NOT IN PPI"))</f>
        <v/>
      </c>
      <c r="G93" s="6">
        <f>IF(F93="","","-")</f>
        <v/>
      </c>
      <c r="H93" s="6">
        <f>IF(INPUT!F93="","",INPUT!F93)</f>
        <v/>
      </c>
      <c r="I93" s="6">
        <f>IF(F93="","","N/A")</f>
        <v/>
      </c>
    </row>
    <row r="94" ht="15" customHeight="1">
      <c r="A94" s="16">
        <f>IF(INPUT!A94="","",INPUT!A94)</f>
        <v/>
      </c>
      <c r="B94" s="16">
        <f>IF(INPUT!B94="","",INPUT!B94)</f>
        <v/>
      </c>
      <c r="C94" s="16">
        <f>IF(INPUT!C94="","",INPUT!C94)</f>
        <v/>
      </c>
      <c r="D94" s="16">
        <f>IF(INPUT!D94="","",INPUT!D94)</f>
        <v/>
      </c>
      <c r="E94" s="17">
        <f>IF(INPUT!E94="","",TEXT(INPUT!E94,"0000000000"))</f>
        <v/>
      </c>
      <c r="F94" s="4">
        <f>IF(E94="","",IF(COUNTIF(INDIRECT("PPI_"&amp;CONFIG!$B$4&amp;"!$A:$A"),VALUE(E94))&gt;0,"IN PPI","NOT IN PPI"))</f>
        <v/>
      </c>
      <c r="G94" s="4">
        <f>IF(F94="","","-")</f>
        <v/>
      </c>
      <c r="H94" s="4">
        <f>IF(INPUT!F94="","",INPUT!F94)</f>
        <v/>
      </c>
      <c r="I94" s="4">
        <f>IF(F94="","","N/A")</f>
        <v/>
      </c>
    </row>
    <row r="95" ht="15" customHeight="1">
      <c r="A95" s="14">
        <f>IF(INPUT!A95="","",INPUT!A95)</f>
        <v/>
      </c>
      <c r="B95" s="14">
        <f>IF(INPUT!B95="","",INPUT!B95)</f>
        <v/>
      </c>
      <c r="C95" s="14">
        <f>IF(INPUT!C95="","",INPUT!C95)</f>
        <v/>
      </c>
      <c r="D95" s="14">
        <f>IF(INPUT!D95="","",INPUT!D95)</f>
        <v/>
      </c>
      <c r="E95" s="15">
        <f>IF(INPUT!E95="","",TEXT(INPUT!E95,"0000000000"))</f>
        <v/>
      </c>
      <c r="F95" s="6">
        <f>IF(E95="","",IF(COUNTIF(INDIRECT("PPI_"&amp;CONFIG!$B$4&amp;"!$A:$A"),VALUE(E95))&gt;0,"IN PPI","NOT IN PPI"))</f>
        <v/>
      </c>
      <c r="G95" s="6">
        <f>IF(F95="","","-")</f>
        <v/>
      </c>
      <c r="H95" s="6">
        <f>IF(INPUT!F95="","",INPUT!F95)</f>
        <v/>
      </c>
      <c r="I95" s="6">
        <f>IF(F95="","","N/A")</f>
        <v/>
      </c>
    </row>
    <row r="96" ht="15" customHeight="1">
      <c r="A96" s="16">
        <f>IF(INPUT!A96="","",INPUT!A96)</f>
        <v/>
      </c>
      <c r="B96" s="16">
        <f>IF(INPUT!B96="","",INPUT!B96)</f>
        <v/>
      </c>
      <c r="C96" s="16">
        <f>IF(INPUT!C96="","",INPUT!C96)</f>
        <v/>
      </c>
      <c r="D96" s="16">
        <f>IF(INPUT!D96="","",INPUT!D96)</f>
        <v/>
      </c>
      <c r="E96" s="17">
        <f>IF(INPUT!E96="","",TEXT(INPUT!E96,"0000000000"))</f>
        <v/>
      </c>
      <c r="F96" s="4">
        <f>IF(E96="","",IF(COUNTIF(INDIRECT("PPI_"&amp;CONFIG!$B$4&amp;"!$A:$A"),VALUE(E96))&gt;0,"IN PPI","NOT IN PPI"))</f>
        <v/>
      </c>
      <c r="G96" s="4">
        <f>IF(F96="","","-")</f>
        <v/>
      </c>
      <c r="H96" s="4">
        <f>IF(INPUT!F96="","",INPUT!F96)</f>
        <v/>
      </c>
      <c r="I96" s="4">
        <f>IF(F96="","","N/A")</f>
        <v/>
      </c>
    </row>
    <row r="97" ht="15" customHeight="1">
      <c r="A97" s="14">
        <f>IF(INPUT!A97="","",INPUT!A97)</f>
        <v/>
      </c>
      <c r="B97" s="14">
        <f>IF(INPUT!B97="","",INPUT!B97)</f>
        <v/>
      </c>
      <c r="C97" s="14">
        <f>IF(INPUT!C97="","",INPUT!C97)</f>
        <v/>
      </c>
      <c r="D97" s="14">
        <f>IF(INPUT!D97="","",INPUT!D97)</f>
        <v/>
      </c>
      <c r="E97" s="15">
        <f>IF(INPUT!E97="","",TEXT(INPUT!E97,"0000000000"))</f>
        <v/>
      </c>
      <c r="F97" s="6">
        <f>IF(E97="","",IF(COUNTIF(INDIRECT("PPI_"&amp;CONFIG!$B$4&amp;"!$A:$A"),VALUE(E97))&gt;0,"IN PPI","NOT IN PPI"))</f>
        <v/>
      </c>
      <c r="G97" s="6">
        <f>IF(F97="","","-")</f>
        <v/>
      </c>
      <c r="H97" s="6">
        <f>IF(INPUT!F97="","",INPUT!F97)</f>
        <v/>
      </c>
      <c r="I97" s="6">
        <f>IF(F97="","","N/A")</f>
        <v/>
      </c>
    </row>
    <row r="98" ht="15" customHeight="1">
      <c r="A98" s="16">
        <f>IF(INPUT!A98="","",INPUT!A98)</f>
        <v/>
      </c>
      <c r="B98" s="16">
        <f>IF(INPUT!B98="","",INPUT!B98)</f>
        <v/>
      </c>
      <c r="C98" s="16">
        <f>IF(INPUT!C98="","",INPUT!C98)</f>
        <v/>
      </c>
      <c r="D98" s="16">
        <f>IF(INPUT!D98="","",INPUT!D98)</f>
        <v/>
      </c>
      <c r="E98" s="17">
        <f>IF(INPUT!E98="","",TEXT(INPUT!E98,"0000000000"))</f>
        <v/>
      </c>
      <c r="F98" s="4">
        <f>IF(E98="","",IF(COUNTIF(INDIRECT("PPI_"&amp;CONFIG!$B$4&amp;"!$A:$A"),VALUE(E98))&gt;0,"IN PPI","NOT IN PPI"))</f>
        <v/>
      </c>
      <c r="G98" s="4">
        <f>IF(F98="","","-")</f>
        <v/>
      </c>
      <c r="H98" s="4">
        <f>IF(INPUT!F98="","",INPUT!F98)</f>
        <v/>
      </c>
      <c r="I98" s="4">
        <f>IF(F98="","","N/A")</f>
        <v/>
      </c>
    </row>
    <row r="99" ht="15" customHeight="1">
      <c r="A99" s="14">
        <f>IF(INPUT!A99="","",INPUT!A99)</f>
        <v/>
      </c>
      <c r="B99" s="14">
        <f>IF(INPUT!B99="","",INPUT!B99)</f>
        <v/>
      </c>
      <c r="C99" s="14">
        <f>IF(INPUT!C99="","",INPUT!C99)</f>
        <v/>
      </c>
      <c r="D99" s="14">
        <f>IF(INPUT!D99="","",INPUT!D99)</f>
        <v/>
      </c>
      <c r="E99" s="15">
        <f>IF(INPUT!E99="","",TEXT(INPUT!E99,"0000000000"))</f>
        <v/>
      </c>
      <c r="F99" s="6">
        <f>IF(E99="","",IF(COUNTIF(INDIRECT("PPI_"&amp;CONFIG!$B$4&amp;"!$A:$A"),VALUE(E99))&gt;0,"IN PPI","NOT IN PPI"))</f>
        <v/>
      </c>
      <c r="G99" s="6">
        <f>IF(F99="","","-")</f>
        <v/>
      </c>
      <c r="H99" s="6">
        <f>IF(INPUT!F99="","",INPUT!F99)</f>
        <v/>
      </c>
      <c r="I99" s="6">
        <f>IF(F99="","","N/A")</f>
        <v/>
      </c>
    </row>
    <row r="100" ht="15" customHeight="1">
      <c r="A100" s="16">
        <f>IF(INPUT!A100="","",INPUT!A100)</f>
        <v/>
      </c>
      <c r="B100" s="16">
        <f>IF(INPUT!B100="","",INPUT!B100)</f>
        <v/>
      </c>
      <c r="C100" s="16">
        <f>IF(INPUT!C100="","",INPUT!C100)</f>
        <v/>
      </c>
      <c r="D100" s="16">
        <f>IF(INPUT!D100="","",INPUT!D100)</f>
        <v/>
      </c>
      <c r="E100" s="17">
        <f>IF(INPUT!E100="","",TEXT(INPUT!E100,"0000000000"))</f>
        <v/>
      </c>
      <c r="F100" s="4">
        <f>IF(E100="","",IF(COUNTIF(INDIRECT("PPI_"&amp;CONFIG!$B$4&amp;"!$A:$A"),VALUE(E100))&gt;0,"IN PPI","NOT IN PPI"))</f>
        <v/>
      </c>
      <c r="G100" s="4">
        <f>IF(F100="","","-")</f>
        <v/>
      </c>
      <c r="H100" s="4">
        <f>IF(INPUT!F100="","",INPUT!F100)</f>
        <v/>
      </c>
      <c r="I100" s="4">
        <f>IF(F100="","","N/A")</f>
        <v/>
      </c>
    </row>
    <row r="101" ht="15" customHeight="1">
      <c r="A101" s="14">
        <f>IF(INPUT!A101="","",INPUT!A101)</f>
        <v/>
      </c>
      <c r="B101" s="14">
        <f>IF(INPUT!B101="","",INPUT!B101)</f>
        <v/>
      </c>
      <c r="C101" s="14">
        <f>IF(INPUT!C101="","",INPUT!C101)</f>
        <v/>
      </c>
      <c r="D101" s="14">
        <f>IF(INPUT!D101="","",INPUT!D101)</f>
        <v/>
      </c>
      <c r="E101" s="15">
        <f>IF(INPUT!E101="","",TEXT(INPUT!E101,"0000000000"))</f>
        <v/>
      </c>
      <c r="F101" s="6">
        <f>IF(E101="","",IF(COUNTIF(INDIRECT("PPI_"&amp;CONFIG!$B$4&amp;"!$A:$A"),VALUE(E101))&gt;0,"IN PPI","NOT IN PPI"))</f>
        <v/>
      </c>
      <c r="G101" s="6">
        <f>IF(F101="","","-")</f>
        <v/>
      </c>
      <c r="H101" s="6">
        <f>IF(INPUT!F101="","",INPUT!F101)</f>
        <v/>
      </c>
      <c r="I101" s="6">
        <f>IF(F101="","","N/A")</f>
        <v/>
      </c>
    </row>
    <row r="102" ht="15" customHeight="1">
      <c r="A102" s="16">
        <f>IF(INPUT!A102="","",INPUT!A102)</f>
        <v/>
      </c>
      <c r="B102" s="16">
        <f>IF(INPUT!B102="","",INPUT!B102)</f>
        <v/>
      </c>
      <c r="C102" s="16">
        <f>IF(INPUT!C102="","",INPUT!C102)</f>
        <v/>
      </c>
      <c r="D102" s="16">
        <f>IF(INPUT!D102="","",INPUT!D102)</f>
        <v/>
      </c>
      <c r="E102" s="17">
        <f>IF(INPUT!E102="","",TEXT(INPUT!E102,"0000000000"))</f>
        <v/>
      </c>
      <c r="F102" s="4">
        <f>IF(E102="","",IF(COUNTIF(INDIRECT("PPI_"&amp;CONFIG!$B$4&amp;"!$A:$A"),VALUE(E102))&gt;0,"IN PPI","NOT IN PPI"))</f>
        <v/>
      </c>
      <c r="G102" s="4">
        <f>IF(F102="","","-")</f>
        <v/>
      </c>
      <c r="H102" s="4">
        <f>IF(INPUT!F102="","",INPUT!F102)</f>
        <v/>
      </c>
      <c r="I102" s="4">
        <f>IF(F102="","","N/A")</f>
        <v/>
      </c>
    </row>
    <row r="103" ht="15" customHeight="1">
      <c r="A103" s="14">
        <f>IF(INPUT!A103="","",INPUT!A103)</f>
        <v/>
      </c>
      <c r="B103" s="14">
        <f>IF(INPUT!B103="","",INPUT!B103)</f>
        <v/>
      </c>
      <c r="C103" s="14">
        <f>IF(INPUT!C103="","",INPUT!C103)</f>
        <v/>
      </c>
      <c r="D103" s="14">
        <f>IF(INPUT!D103="","",INPUT!D103)</f>
        <v/>
      </c>
      <c r="E103" s="15">
        <f>IF(INPUT!E103="","",TEXT(INPUT!E103,"0000000000"))</f>
        <v/>
      </c>
      <c r="F103" s="6">
        <f>IF(E103="","",IF(COUNTIF(INDIRECT("PPI_"&amp;CONFIG!$B$4&amp;"!$A:$A"),VALUE(E103))&gt;0,"IN PPI","NOT IN PPI"))</f>
        <v/>
      </c>
      <c r="G103" s="6">
        <f>IF(F103="","","-")</f>
        <v/>
      </c>
      <c r="H103" s="6">
        <f>IF(INPUT!F103="","",INPUT!F103)</f>
        <v/>
      </c>
      <c r="I103" s="6">
        <f>IF(F103="","","N/A")</f>
        <v/>
      </c>
    </row>
    <row r="104" ht="15" customHeight="1">
      <c r="A104" s="16">
        <f>IF(INPUT!A104="","",INPUT!A104)</f>
        <v/>
      </c>
      <c r="B104" s="16">
        <f>IF(INPUT!B104="","",INPUT!B104)</f>
        <v/>
      </c>
      <c r="C104" s="16">
        <f>IF(INPUT!C104="","",INPUT!C104)</f>
        <v/>
      </c>
      <c r="D104" s="16">
        <f>IF(INPUT!D104="","",INPUT!D104)</f>
        <v/>
      </c>
      <c r="E104" s="17">
        <f>IF(INPUT!E104="","",TEXT(INPUT!E104,"0000000000"))</f>
        <v/>
      </c>
      <c r="F104" s="4">
        <f>IF(E104="","",IF(COUNTIF(INDIRECT("PPI_"&amp;CONFIG!$B$4&amp;"!$A:$A"),VALUE(E104))&gt;0,"IN PPI","NOT IN PPI"))</f>
        <v/>
      </c>
      <c r="G104" s="4">
        <f>IF(F104="","","-")</f>
        <v/>
      </c>
      <c r="H104" s="4">
        <f>IF(INPUT!F104="","",INPUT!F104)</f>
        <v/>
      </c>
      <c r="I104" s="4">
        <f>IF(F104="","","N/A")</f>
        <v/>
      </c>
    </row>
    <row r="105" ht="15" customHeight="1">
      <c r="A105" s="14">
        <f>IF(INPUT!A105="","",INPUT!A105)</f>
        <v/>
      </c>
      <c r="B105" s="14">
        <f>IF(INPUT!B105="","",INPUT!B105)</f>
        <v/>
      </c>
      <c r="C105" s="14">
        <f>IF(INPUT!C105="","",INPUT!C105)</f>
        <v/>
      </c>
      <c r="D105" s="14">
        <f>IF(INPUT!D105="","",INPUT!D105)</f>
        <v/>
      </c>
      <c r="E105" s="15">
        <f>IF(INPUT!E105="","",TEXT(INPUT!E105,"0000000000"))</f>
        <v/>
      </c>
      <c r="F105" s="6">
        <f>IF(E105="","",IF(COUNTIF(INDIRECT("PPI_"&amp;CONFIG!$B$4&amp;"!$A:$A"),VALUE(E105))&gt;0,"IN PPI","NOT IN PPI"))</f>
        <v/>
      </c>
      <c r="G105" s="6">
        <f>IF(F105="","","-")</f>
        <v/>
      </c>
      <c r="H105" s="6">
        <f>IF(INPUT!F105="","",INPUT!F105)</f>
        <v/>
      </c>
      <c r="I105" s="6">
        <f>IF(F105="","","N/A")</f>
        <v/>
      </c>
    </row>
    <row r="106" ht="15" customHeight="1">
      <c r="A106" s="16">
        <f>IF(INPUT!A106="","",INPUT!A106)</f>
        <v/>
      </c>
      <c r="B106" s="16">
        <f>IF(INPUT!B106="","",INPUT!B106)</f>
        <v/>
      </c>
      <c r="C106" s="16">
        <f>IF(INPUT!C106="","",INPUT!C106)</f>
        <v/>
      </c>
      <c r="D106" s="16">
        <f>IF(INPUT!D106="","",INPUT!D106)</f>
        <v/>
      </c>
      <c r="E106" s="17">
        <f>IF(INPUT!E106="","",TEXT(INPUT!E106,"0000000000"))</f>
        <v/>
      </c>
      <c r="F106" s="4">
        <f>IF(E106="","",IF(COUNTIF(INDIRECT("PPI_"&amp;CONFIG!$B$4&amp;"!$A:$A"),VALUE(E106))&gt;0,"IN PPI","NOT IN PPI"))</f>
        <v/>
      </c>
      <c r="G106" s="4">
        <f>IF(F106="","","-")</f>
        <v/>
      </c>
      <c r="H106" s="4">
        <f>IF(INPUT!F106="","",INPUT!F106)</f>
        <v/>
      </c>
      <c r="I106" s="4">
        <f>IF(F106="","","N/A")</f>
        <v/>
      </c>
    </row>
    <row r="107" ht="15" customHeight="1">
      <c r="A107" s="14">
        <f>IF(INPUT!A107="","",INPUT!A107)</f>
        <v/>
      </c>
      <c r="B107" s="14">
        <f>IF(INPUT!B107="","",INPUT!B107)</f>
        <v/>
      </c>
      <c r="C107" s="14">
        <f>IF(INPUT!C107="","",INPUT!C107)</f>
        <v/>
      </c>
      <c r="D107" s="14">
        <f>IF(INPUT!D107="","",INPUT!D107)</f>
        <v/>
      </c>
      <c r="E107" s="15">
        <f>IF(INPUT!E107="","",TEXT(INPUT!E107,"0000000000"))</f>
        <v/>
      </c>
      <c r="F107" s="6">
        <f>IF(E107="","",IF(COUNTIF(INDIRECT("PPI_"&amp;CONFIG!$B$4&amp;"!$A:$A"),VALUE(E107))&gt;0,"IN PPI","NOT IN PPI"))</f>
        <v/>
      </c>
      <c r="G107" s="6">
        <f>IF(F107="","","-")</f>
        <v/>
      </c>
      <c r="H107" s="6">
        <f>IF(INPUT!F107="","",INPUT!F107)</f>
        <v/>
      </c>
      <c r="I107" s="6">
        <f>IF(F107="","","N/A")</f>
        <v/>
      </c>
    </row>
    <row r="108" ht="15" customHeight="1">
      <c r="A108" s="16">
        <f>IF(INPUT!A108="","",INPUT!A108)</f>
        <v/>
      </c>
      <c r="B108" s="16">
        <f>IF(INPUT!B108="","",INPUT!B108)</f>
        <v/>
      </c>
      <c r="C108" s="16">
        <f>IF(INPUT!C108="","",INPUT!C108)</f>
        <v/>
      </c>
      <c r="D108" s="16">
        <f>IF(INPUT!D108="","",INPUT!D108)</f>
        <v/>
      </c>
      <c r="E108" s="17">
        <f>IF(INPUT!E108="","",TEXT(INPUT!E108,"0000000000"))</f>
        <v/>
      </c>
      <c r="F108" s="4">
        <f>IF(E108="","",IF(COUNTIF(INDIRECT("PPI_"&amp;CONFIG!$B$4&amp;"!$A:$A"),VALUE(E108))&gt;0,"IN PPI","NOT IN PPI"))</f>
        <v/>
      </c>
      <c r="G108" s="4">
        <f>IF(F108="","","-")</f>
        <v/>
      </c>
      <c r="H108" s="4">
        <f>IF(INPUT!F108="","",INPUT!F108)</f>
        <v/>
      </c>
      <c r="I108" s="4">
        <f>IF(F108="","","N/A")</f>
        <v/>
      </c>
    </row>
    <row r="109" ht="15" customHeight="1">
      <c r="A109" s="14">
        <f>IF(INPUT!A109="","",INPUT!A109)</f>
        <v/>
      </c>
      <c r="B109" s="14">
        <f>IF(INPUT!B109="","",INPUT!B109)</f>
        <v/>
      </c>
      <c r="C109" s="14">
        <f>IF(INPUT!C109="","",INPUT!C109)</f>
        <v/>
      </c>
      <c r="D109" s="14">
        <f>IF(INPUT!D109="","",INPUT!D109)</f>
        <v/>
      </c>
      <c r="E109" s="15">
        <f>IF(INPUT!E109="","",TEXT(INPUT!E109,"0000000000"))</f>
        <v/>
      </c>
      <c r="F109" s="6">
        <f>IF(E109="","",IF(COUNTIF(INDIRECT("PPI_"&amp;CONFIG!$B$4&amp;"!$A:$A"),VALUE(E109))&gt;0,"IN PPI","NOT IN PPI"))</f>
        <v/>
      </c>
      <c r="G109" s="6">
        <f>IF(F109="","","-")</f>
        <v/>
      </c>
      <c r="H109" s="6">
        <f>IF(INPUT!F109="","",INPUT!F109)</f>
        <v/>
      </c>
      <c r="I109" s="6">
        <f>IF(F109="","","N/A")</f>
        <v/>
      </c>
    </row>
    <row r="110" ht="15" customHeight="1">
      <c r="A110" s="16">
        <f>IF(INPUT!A110="","",INPUT!A110)</f>
        <v/>
      </c>
      <c r="B110" s="16">
        <f>IF(INPUT!B110="","",INPUT!B110)</f>
        <v/>
      </c>
      <c r="C110" s="16">
        <f>IF(INPUT!C110="","",INPUT!C110)</f>
        <v/>
      </c>
      <c r="D110" s="16">
        <f>IF(INPUT!D110="","",INPUT!D110)</f>
        <v/>
      </c>
      <c r="E110" s="17">
        <f>IF(INPUT!E110="","",TEXT(INPUT!E110,"0000000000"))</f>
        <v/>
      </c>
      <c r="F110" s="4">
        <f>IF(E110="","",IF(COUNTIF(INDIRECT("PPI_"&amp;CONFIG!$B$4&amp;"!$A:$A"),VALUE(E110))&gt;0,"IN PPI","NOT IN PPI"))</f>
        <v/>
      </c>
      <c r="G110" s="4">
        <f>IF(F110="","","-")</f>
        <v/>
      </c>
      <c r="H110" s="4">
        <f>IF(INPUT!F110="","",INPUT!F110)</f>
        <v/>
      </c>
      <c r="I110" s="4">
        <f>IF(F110="","","N/A")</f>
        <v/>
      </c>
    </row>
    <row r="111" ht="15" customHeight="1">
      <c r="A111" s="14">
        <f>IF(INPUT!A111="","",INPUT!A111)</f>
        <v/>
      </c>
      <c r="B111" s="14">
        <f>IF(INPUT!B111="","",INPUT!B111)</f>
        <v/>
      </c>
      <c r="C111" s="14">
        <f>IF(INPUT!C111="","",INPUT!C111)</f>
        <v/>
      </c>
      <c r="D111" s="14">
        <f>IF(INPUT!D111="","",INPUT!D111)</f>
        <v/>
      </c>
      <c r="E111" s="15">
        <f>IF(INPUT!E111="","",TEXT(INPUT!E111,"0000000000"))</f>
        <v/>
      </c>
      <c r="F111" s="6">
        <f>IF(E111="","",IF(COUNTIF(INDIRECT("PPI_"&amp;CONFIG!$B$4&amp;"!$A:$A"),VALUE(E111))&gt;0,"IN PPI","NOT IN PPI"))</f>
        <v/>
      </c>
      <c r="G111" s="6">
        <f>IF(F111="","","-")</f>
        <v/>
      </c>
      <c r="H111" s="6">
        <f>IF(INPUT!F111="","",INPUT!F111)</f>
        <v/>
      </c>
      <c r="I111" s="6">
        <f>IF(F111="","","N/A")</f>
        <v/>
      </c>
    </row>
    <row r="112" ht="15" customHeight="1">
      <c r="A112" s="16">
        <f>IF(INPUT!A112="","",INPUT!A112)</f>
        <v/>
      </c>
      <c r="B112" s="16">
        <f>IF(INPUT!B112="","",INPUT!B112)</f>
        <v/>
      </c>
      <c r="C112" s="16">
        <f>IF(INPUT!C112="","",INPUT!C112)</f>
        <v/>
      </c>
      <c r="D112" s="16">
        <f>IF(INPUT!D112="","",INPUT!D112)</f>
        <v/>
      </c>
      <c r="E112" s="17">
        <f>IF(INPUT!E112="","",TEXT(INPUT!E112,"0000000000"))</f>
        <v/>
      </c>
      <c r="F112" s="4">
        <f>IF(E112="","",IF(COUNTIF(INDIRECT("PPI_"&amp;CONFIG!$B$4&amp;"!$A:$A"),VALUE(E112))&gt;0,"IN PPI","NOT IN PPI"))</f>
        <v/>
      </c>
      <c r="G112" s="4">
        <f>IF(F112="","","-")</f>
        <v/>
      </c>
      <c r="H112" s="4">
        <f>IF(INPUT!F112="","",INPUT!F112)</f>
        <v/>
      </c>
      <c r="I112" s="4">
        <f>IF(F112="","","N/A")</f>
        <v/>
      </c>
    </row>
    <row r="113" ht="15" customHeight="1">
      <c r="A113" s="14">
        <f>IF(INPUT!A113="","",INPUT!A113)</f>
        <v/>
      </c>
      <c r="B113" s="14">
        <f>IF(INPUT!B113="","",INPUT!B113)</f>
        <v/>
      </c>
      <c r="C113" s="14">
        <f>IF(INPUT!C113="","",INPUT!C113)</f>
        <v/>
      </c>
      <c r="D113" s="14">
        <f>IF(INPUT!D113="","",INPUT!D113)</f>
        <v/>
      </c>
      <c r="E113" s="15">
        <f>IF(INPUT!E113="","",TEXT(INPUT!E113,"0000000000"))</f>
        <v/>
      </c>
      <c r="F113" s="6">
        <f>IF(E113="","",IF(COUNTIF(INDIRECT("PPI_"&amp;CONFIG!$B$4&amp;"!$A:$A"),VALUE(E113))&gt;0,"IN PPI","NOT IN PPI"))</f>
        <v/>
      </c>
      <c r="G113" s="6">
        <f>IF(F113="","","-")</f>
        <v/>
      </c>
      <c r="H113" s="6">
        <f>IF(INPUT!F113="","",INPUT!F113)</f>
        <v/>
      </c>
      <c r="I113" s="6">
        <f>IF(F113="","","N/A")</f>
        <v/>
      </c>
    </row>
    <row r="114" ht="15" customHeight="1">
      <c r="A114" s="16">
        <f>IF(INPUT!A114="","",INPUT!A114)</f>
        <v/>
      </c>
      <c r="B114" s="16">
        <f>IF(INPUT!B114="","",INPUT!B114)</f>
        <v/>
      </c>
      <c r="C114" s="16">
        <f>IF(INPUT!C114="","",INPUT!C114)</f>
        <v/>
      </c>
      <c r="D114" s="16">
        <f>IF(INPUT!D114="","",INPUT!D114)</f>
        <v/>
      </c>
      <c r="E114" s="17">
        <f>IF(INPUT!E114="","",TEXT(INPUT!E114,"0000000000"))</f>
        <v/>
      </c>
      <c r="F114" s="4">
        <f>IF(E114="","",IF(COUNTIF(INDIRECT("PPI_"&amp;CONFIG!$B$4&amp;"!$A:$A"),VALUE(E114))&gt;0,"IN PPI","NOT IN PPI"))</f>
        <v/>
      </c>
      <c r="G114" s="4">
        <f>IF(F114="","","-")</f>
        <v/>
      </c>
      <c r="H114" s="4">
        <f>IF(INPUT!F114="","",INPUT!F114)</f>
        <v/>
      </c>
      <c r="I114" s="4">
        <f>IF(F114="","","N/A")</f>
        <v/>
      </c>
    </row>
    <row r="115" ht="15" customHeight="1">
      <c r="A115" s="14">
        <f>IF(INPUT!A115="","",INPUT!A115)</f>
        <v/>
      </c>
      <c r="B115" s="14">
        <f>IF(INPUT!B115="","",INPUT!B115)</f>
        <v/>
      </c>
      <c r="C115" s="14">
        <f>IF(INPUT!C115="","",INPUT!C115)</f>
        <v/>
      </c>
      <c r="D115" s="14">
        <f>IF(INPUT!D115="","",INPUT!D115)</f>
        <v/>
      </c>
      <c r="E115" s="15">
        <f>IF(INPUT!E115="","",TEXT(INPUT!E115,"0000000000"))</f>
        <v/>
      </c>
      <c r="F115" s="6">
        <f>IF(E115="","",IF(COUNTIF(INDIRECT("PPI_"&amp;CONFIG!$B$4&amp;"!$A:$A"),VALUE(E115))&gt;0,"IN PPI","NOT IN PPI"))</f>
        <v/>
      </c>
      <c r="G115" s="6">
        <f>IF(F115="","","-")</f>
        <v/>
      </c>
      <c r="H115" s="6">
        <f>IF(INPUT!F115="","",INPUT!F115)</f>
        <v/>
      </c>
      <c r="I115" s="6">
        <f>IF(F115="","","N/A")</f>
        <v/>
      </c>
    </row>
    <row r="116" ht="15" customHeight="1">
      <c r="A116" s="16">
        <f>IF(INPUT!A116="","",INPUT!A116)</f>
        <v/>
      </c>
      <c r="B116" s="16">
        <f>IF(INPUT!B116="","",INPUT!B116)</f>
        <v/>
      </c>
      <c r="C116" s="16">
        <f>IF(INPUT!C116="","",INPUT!C116)</f>
        <v/>
      </c>
      <c r="D116" s="16">
        <f>IF(INPUT!D116="","",INPUT!D116)</f>
        <v/>
      </c>
      <c r="E116" s="17">
        <f>IF(INPUT!E116="","",TEXT(INPUT!E116,"0000000000"))</f>
        <v/>
      </c>
      <c r="F116" s="4">
        <f>IF(E116="","",IF(COUNTIF(INDIRECT("PPI_"&amp;CONFIG!$B$4&amp;"!$A:$A"),VALUE(E116))&gt;0,"IN PPI","NOT IN PPI"))</f>
        <v/>
      </c>
      <c r="G116" s="4">
        <f>IF(F116="","","-")</f>
        <v/>
      </c>
      <c r="H116" s="4">
        <f>IF(INPUT!F116="","",INPUT!F116)</f>
        <v/>
      </c>
      <c r="I116" s="4">
        <f>IF(F116="","","N/A")</f>
        <v/>
      </c>
    </row>
    <row r="117" ht="15" customHeight="1">
      <c r="A117" s="14">
        <f>IF(INPUT!A117="","",INPUT!A117)</f>
        <v/>
      </c>
      <c r="B117" s="14">
        <f>IF(INPUT!B117="","",INPUT!B117)</f>
        <v/>
      </c>
      <c r="C117" s="14">
        <f>IF(INPUT!C117="","",INPUT!C117)</f>
        <v/>
      </c>
      <c r="D117" s="14">
        <f>IF(INPUT!D117="","",INPUT!D117)</f>
        <v/>
      </c>
      <c r="E117" s="15">
        <f>IF(INPUT!E117="","",TEXT(INPUT!E117,"0000000000"))</f>
        <v/>
      </c>
      <c r="F117" s="6">
        <f>IF(E117="","",IF(COUNTIF(INDIRECT("PPI_"&amp;CONFIG!$B$4&amp;"!$A:$A"),VALUE(E117))&gt;0,"IN PPI","NOT IN PPI"))</f>
        <v/>
      </c>
      <c r="G117" s="6">
        <f>IF(F117="","","-")</f>
        <v/>
      </c>
      <c r="H117" s="6">
        <f>IF(INPUT!F117="","",INPUT!F117)</f>
        <v/>
      </c>
      <c r="I117" s="6">
        <f>IF(F117="","","N/A")</f>
        <v/>
      </c>
    </row>
    <row r="118" ht="15" customHeight="1">
      <c r="A118" s="16">
        <f>IF(INPUT!A118="","",INPUT!A118)</f>
        <v/>
      </c>
      <c r="B118" s="16">
        <f>IF(INPUT!B118="","",INPUT!B118)</f>
        <v/>
      </c>
      <c r="C118" s="16">
        <f>IF(INPUT!C118="","",INPUT!C118)</f>
        <v/>
      </c>
      <c r="D118" s="16">
        <f>IF(INPUT!D118="","",INPUT!D118)</f>
        <v/>
      </c>
      <c r="E118" s="17">
        <f>IF(INPUT!E118="","",TEXT(INPUT!E118,"0000000000"))</f>
        <v/>
      </c>
      <c r="F118" s="4">
        <f>IF(E118="","",IF(COUNTIF(INDIRECT("PPI_"&amp;CONFIG!$B$4&amp;"!$A:$A"),VALUE(E118))&gt;0,"IN PPI","NOT IN PPI"))</f>
        <v/>
      </c>
      <c r="G118" s="4">
        <f>IF(F118="","","-")</f>
        <v/>
      </c>
      <c r="H118" s="4">
        <f>IF(INPUT!F118="","",INPUT!F118)</f>
        <v/>
      </c>
      <c r="I118" s="4">
        <f>IF(F118="","","N/A")</f>
        <v/>
      </c>
    </row>
    <row r="119" ht="15" customHeight="1">
      <c r="A119" s="14">
        <f>IF(INPUT!A119="","",INPUT!A119)</f>
        <v/>
      </c>
      <c r="B119" s="14">
        <f>IF(INPUT!B119="","",INPUT!B119)</f>
        <v/>
      </c>
      <c r="C119" s="14">
        <f>IF(INPUT!C119="","",INPUT!C119)</f>
        <v/>
      </c>
      <c r="D119" s="14">
        <f>IF(INPUT!D119="","",INPUT!D119)</f>
        <v/>
      </c>
      <c r="E119" s="15">
        <f>IF(INPUT!E119="","",TEXT(INPUT!E119,"0000000000"))</f>
        <v/>
      </c>
      <c r="F119" s="6">
        <f>IF(E119="","",IF(COUNTIF(INDIRECT("PPI_"&amp;CONFIG!$B$4&amp;"!$A:$A"),VALUE(E119))&gt;0,"IN PPI","NOT IN PPI"))</f>
        <v/>
      </c>
      <c r="G119" s="6">
        <f>IF(F119="","","-")</f>
        <v/>
      </c>
      <c r="H119" s="6">
        <f>IF(INPUT!F119="","",INPUT!F119)</f>
        <v/>
      </c>
      <c r="I119" s="6">
        <f>IF(F119="","","N/A")</f>
        <v/>
      </c>
    </row>
    <row r="120" ht="15" customHeight="1">
      <c r="A120" s="16">
        <f>IF(INPUT!A120="","",INPUT!A120)</f>
        <v/>
      </c>
      <c r="B120" s="16">
        <f>IF(INPUT!B120="","",INPUT!B120)</f>
        <v/>
      </c>
      <c r="C120" s="16">
        <f>IF(INPUT!C120="","",INPUT!C120)</f>
        <v/>
      </c>
      <c r="D120" s="16">
        <f>IF(INPUT!D120="","",INPUT!D120)</f>
        <v/>
      </c>
      <c r="E120" s="17">
        <f>IF(INPUT!E120="","",TEXT(INPUT!E120,"0000000000"))</f>
        <v/>
      </c>
      <c r="F120" s="4">
        <f>IF(E120="","",IF(COUNTIF(INDIRECT("PPI_"&amp;CONFIG!$B$4&amp;"!$A:$A"),VALUE(E120))&gt;0,"IN PPI","NOT IN PPI"))</f>
        <v/>
      </c>
      <c r="G120" s="4">
        <f>IF(F120="","","-")</f>
        <v/>
      </c>
      <c r="H120" s="4">
        <f>IF(INPUT!F120="","",INPUT!F120)</f>
        <v/>
      </c>
      <c r="I120" s="4">
        <f>IF(F120="","","N/A")</f>
        <v/>
      </c>
    </row>
    <row r="121" ht="15" customHeight="1">
      <c r="A121" s="14">
        <f>IF(INPUT!A121="","",INPUT!A121)</f>
        <v/>
      </c>
      <c r="B121" s="14">
        <f>IF(INPUT!B121="","",INPUT!B121)</f>
        <v/>
      </c>
      <c r="C121" s="14">
        <f>IF(INPUT!C121="","",INPUT!C121)</f>
        <v/>
      </c>
      <c r="D121" s="14">
        <f>IF(INPUT!D121="","",INPUT!D121)</f>
        <v/>
      </c>
      <c r="E121" s="15">
        <f>IF(INPUT!E121="","",TEXT(INPUT!E121,"0000000000"))</f>
        <v/>
      </c>
      <c r="F121" s="6">
        <f>IF(E121="","",IF(COUNTIF(INDIRECT("PPI_"&amp;CONFIG!$B$4&amp;"!$A:$A"),VALUE(E121))&gt;0,"IN PPI","NOT IN PPI"))</f>
        <v/>
      </c>
      <c r="G121" s="6">
        <f>IF(F121="","","-")</f>
        <v/>
      </c>
      <c r="H121" s="6">
        <f>IF(INPUT!F121="","",INPUT!F121)</f>
        <v/>
      </c>
      <c r="I121" s="6">
        <f>IF(F121="","","N/A")</f>
        <v/>
      </c>
    </row>
    <row r="122" ht="15" customHeight="1">
      <c r="A122" s="16">
        <f>IF(INPUT!A122="","",INPUT!A122)</f>
        <v/>
      </c>
      <c r="B122" s="16">
        <f>IF(INPUT!B122="","",INPUT!B122)</f>
        <v/>
      </c>
      <c r="C122" s="16">
        <f>IF(INPUT!C122="","",INPUT!C122)</f>
        <v/>
      </c>
      <c r="D122" s="16">
        <f>IF(INPUT!D122="","",INPUT!D122)</f>
        <v/>
      </c>
      <c r="E122" s="17">
        <f>IF(INPUT!E122="","",TEXT(INPUT!E122,"0000000000"))</f>
        <v/>
      </c>
      <c r="F122" s="4">
        <f>IF(E122="","",IF(COUNTIF(INDIRECT("PPI_"&amp;CONFIG!$B$4&amp;"!$A:$A"),VALUE(E122))&gt;0,"IN PPI","NOT IN PPI"))</f>
        <v/>
      </c>
      <c r="G122" s="4">
        <f>IF(F122="","","-")</f>
        <v/>
      </c>
      <c r="H122" s="4">
        <f>IF(INPUT!F122="","",INPUT!F122)</f>
        <v/>
      </c>
      <c r="I122" s="4">
        <f>IF(F122="","","N/A")</f>
        <v/>
      </c>
    </row>
    <row r="123" ht="15" customHeight="1">
      <c r="A123" s="14">
        <f>IF(INPUT!A123="","",INPUT!A123)</f>
        <v/>
      </c>
      <c r="B123" s="14">
        <f>IF(INPUT!B123="","",INPUT!B123)</f>
        <v/>
      </c>
      <c r="C123" s="14">
        <f>IF(INPUT!C123="","",INPUT!C123)</f>
        <v/>
      </c>
      <c r="D123" s="14">
        <f>IF(INPUT!D123="","",INPUT!D123)</f>
        <v/>
      </c>
      <c r="E123" s="15">
        <f>IF(INPUT!E123="","",TEXT(INPUT!E123,"0000000000"))</f>
        <v/>
      </c>
      <c r="F123" s="6">
        <f>IF(E123="","",IF(COUNTIF(INDIRECT("PPI_"&amp;CONFIG!$B$4&amp;"!$A:$A"),VALUE(E123))&gt;0,"IN PPI","NOT IN PPI"))</f>
        <v/>
      </c>
      <c r="G123" s="6">
        <f>IF(F123="","","-")</f>
        <v/>
      </c>
      <c r="H123" s="6">
        <f>IF(INPUT!F123="","",INPUT!F123)</f>
        <v/>
      </c>
      <c r="I123" s="6">
        <f>IF(F123="","","N/A")</f>
        <v/>
      </c>
    </row>
    <row r="124" ht="15" customHeight="1">
      <c r="A124" s="16">
        <f>IF(INPUT!A124="","",INPUT!A124)</f>
        <v/>
      </c>
      <c r="B124" s="16">
        <f>IF(INPUT!B124="","",INPUT!B124)</f>
        <v/>
      </c>
      <c r="C124" s="16">
        <f>IF(INPUT!C124="","",INPUT!C124)</f>
        <v/>
      </c>
      <c r="D124" s="16">
        <f>IF(INPUT!D124="","",INPUT!D124)</f>
        <v/>
      </c>
      <c r="E124" s="17">
        <f>IF(INPUT!E124="","",TEXT(INPUT!E124,"0000000000"))</f>
        <v/>
      </c>
      <c r="F124" s="4">
        <f>IF(E124="","",IF(COUNTIF(INDIRECT("PPI_"&amp;CONFIG!$B$4&amp;"!$A:$A"),VALUE(E124))&gt;0,"IN PPI","NOT IN PPI"))</f>
        <v/>
      </c>
      <c r="G124" s="4">
        <f>IF(F124="","","-")</f>
        <v/>
      </c>
      <c r="H124" s="4">
        <f>IF(INPUT!F124="","",INPUT!F124)</f>
        <v/>
      </c>
      <c r="I124" s="4">
        <f>IF(F124="","","N/A")</f>
        <v/>
      </c>
    </row>
    <row r="125" ht="15" customHeight="1">
      <c r="A125" s="14">
        <f>IF(INPUT!A125="","",INPUT!A125)</f>
        <v/>
      </c>
      <c r="B125" s="14">
        <f>IF(INPUT!B125="","",INPUT!B125)</f>
        <v/>
      </c>
      <c r="C125" s="14">
        <f>IF(INPUT!C125="","",INPUT!C125)</f>
        <v/>
      </c>
      <c r="D125" s="14">
        <f>IF(INPUT!D125="","",INPUT!D125)</f>
        <v/>
      </c>
      <c r="E125" s="15">
        <f>IF(INPUT!E125="","",TEXT(INPUT!E125,"0000000000"))</f>
        <v/>
      </c>
      <c r="F125" s="6">
        <f>IF(E125="","",IF(COUNTIF(INDIRECT("PPI_"&amp;CONFIG!$B$4&amp;"!$A:$A"),VALUE(E125))&gt;0,"IN PPI","NOT IN PPI"))</f>
        <v/>
      </c>
      <c r="G125" s="6">
        <f>IF(F125="","","-")</f>
        <v/>
      </c>
      <c r="H125" s="6">
        <f>IF(INPUT!F125="","",INPUT!F125)</f>
        <v/>
      </c>
      <c r="I125" s="6">
        <f>IF(F125="","","N/A")</f>
        <v/>
      </c>
    </row>
    <row r="126" ht="15" customHeight="1">
      <c r="A126" s="16">
        <f>IF(INPUT!A126="","",INPUT!A126)</f>
        <v/>
      </c>
      <c r="B126" s="16">
        <f>IF(INPUT!B126="","",INPUT!B126)</f>
        <v/>
      </c>
      <c r="C126" s="16">
        <f>IF(INPUT!C126="","",INPUT!C126)</f>
        <v/>
      </c>
      <c r="D126" s="16">
        <f>IF(INPUT!D126="","",INPUT!D126)</f>
        <v/>
      </c>
      <c r="E126" s="17">
        <f>IF(INPUT!E126="","",TEXT(INPUT!E126,"0000000000"))</f>
        <v/>
      </c>
      <c r="F126" s="4">
        <f>IF(E126="","",IF(COUNTIF(INDIRECT("PPI_"&amp;CONFIG!$B$4&amp;"!$A:$A"),VALUE(E126))&gt;0,"IN PPI","NOT IN PPI"))</f>
        <v/>
      </c>
      <c r="G126" s="4">
        <f>IF(F126="","","-")</f>
        <v/>
      </c>
      <c r="H126" s="4">
        <f>IF(INPUT!F126="","",INPUT!F126)</f>
        <v/>
      </c>
      <c r="I126" s="4">
        <f>IF(F126="","","N/A")</f>
        <v/>
      </c>
    </row>
    <row r="127" ht="15" customHeight="1">
      <c r="A127" s="14">
        <f>IF(INPUT!A127="","",INPUT!A127)</f>
        <v/>
      </c>
      <c r="B127" s="14">
        <f>IF(INPUT!B127="","",INPUT!B127)</f>
        <v/>
      </c>
      <c r="C127" s="14">
        <f>IF(INPUT!C127="","",INPUT!C127)</f>
        <v/>
      </c>
      <c r="D127" s="14">
        <f>IF(INPUT!D127="","",INPUT!D127)</f>
        <v/>
      </c>
      <c r="E127" s="15">
        <f>IF(INPUT!E127="","",TEXT(INPUT!E127,"0000000000"))</f>
        <v/>
      </c>
      <c r="F127" s="6">
        <f>IF(E127="","",IF(COUNTIF(INDIRECT("PPI_"&amp;CONFIG!$B$4&amp;"!$A:$A"),VALUE(E127))&gt;0,"IN PPI","NOT IN PPI"))</f>
        <v/>
      </c>
      <c r="G127" s="6">
        <f>IF(F127="","","-")</f>
        <v/>
      </c>
      <c r="H127" s="6">
        <f>IF(INPUT!F127="","",INPUT!F127)</f>
        <v/>
      </c>
      <c r="I127" s="6">
        <f>IF(F127="","","N/A")</f>
        <v/>
      </c>
    </row>
    <row r="128" ht="15" customHeight="1">
      <c r="A128" s="16">
        <f>IF(INPUT!A128="","",INPUT!A128)</f>
        <v/>
      </c>
      <c r="B128" s="16">
        <f>IF(INPUT!B128="","",INPUT!B128)</f>
        <v/>
      </c>
      <c r="C128" s="16">
        <f>IF(INPUT!C128="","",INPUT!C128)</f>
        <v/>
      </c>
      <c r="D128" s="16">
        <f>IF(INPUT!D128="","",INPUT!D128)</f>
        <v/>
      </c>
      <c r="E128" s="17">
        <f>IF(INPUT!E128="","",TEXT(INPUT!E128,"0000000000"))</f>
        <v/>
      </c>
      <c r="F128" s="4">
        <f>IF(E128="","",IF(COUNTIF(INDIRECT("PPI_"&amp;CONFIG!$B$4&amp;"!$A:$A"),VALUE(E128))&gt;0,"IN PPI","NOT IN PPI"))</f>
        <v/>
      </c>
      <c r="G128" s="4">
        <f>IF(F128="","","-")</f>
        <v/>
      </c>
      <c r="H128" s="4">
        <f>IF(INPUT!F128="","",INPUT!F128)</f>
        <v/>
      </c>
      <c r="I128" s="4">
        <f>IF(F128="","","N/A")</f>
        <v/>
      </c>
    </row>
    <row r="129" ht="15" customHeight="1">
      <c r="A129" s="14">
        <f>IF(INPUT!A129="","",INPUT!A129)</f>
        <v/>
      </c>
      <c r="B129" s="14">
        <f>IF(INPUT!B129="","",INPUT!B129)</f>
        <v/>
      </c>
      <c r="C129" s="14">
        <f>IF(INPUT!C129="","",INPUT!C129)</f>
        <v/>
      </c>
      <c r="D129" s="14">
        <f>IF(INPUT!D129="","",INPUT!D129)</f>
        <v/>
      </c>
      <c r="E129" s="15">
        <f>IF(INPUT!E129="","",TEXT(INPUT!E129,"0000000000"))</f>
        <v/>
      </c>
      <c r="F129" s="6">
        <f>IF(E129="","",IF(COUNTIF(INDIRECT("PPI_"&amp;CONFIG!$B$4&amp;"!$A:$A"),VALUE(E129))&gt;0,"IN PPI","NOT IN PPI"))</f>
        <v/>
      </c>
      <c r="G129" s="6">
        <f>IF(F129="","","-")</f>
        <v/>
      </c>
      <c r="H129" s="6">
        <f>IF(INPUT!F129="","",INPUT!F129)</f>
        <v/>
      </c>
      <c r="I129" s="6">
        <f>IF(F129="","","N/A")</f>
        <v/>
      </c>
    </row>
    <row r="130" ht="15" customHeight="1">
      <c r="A130" s="16">
        <f>IF(INPUT!A130="","",INPUT!A130)</f>
        <v/>
      </c>
      <c r="B130" s="16">
        <f>IF(INPUT!B130="","",INPUT!B130)</f>
        <v/>
      </c>
      <c r="C130" s="16">
        <f>IF(INPUT!C130="","",INPUT!C130)</f>
        <v/>
      </c>
      <c r="D130" s="16">
        <f>IF(INPUT!D130="","",INPUT!D130)</f>
        <v/>
      </c>
      <c r="E130" s="17">
        <f>IF(INPUT!E130="","",TEXT(INPUT!E130,"0000000000"))</f>
        <v/>
      </c>
      <c r="F130" s="4">
        <f>IF(E130="","",IF(COUNTIF(INDIRECT("PPI_"&amp;CONFIG!$B$4&amp;"!$A:$A"),VALUE(E130))&gt;0,"IN PPI","NOT IN PPI"))</f>
        <v/>
      </c>
      <c r="G130" s="4">
        <f>IF(F130="","","-")</f>
        <v/>
      </c>
      <c r="H130" s="4">
        <f>IF(INPUT!F130="","",INPUT!F130)</f>
        <v/>
      </c>
      <c r="I130" s="4">
        <f>IF(F130="","","N/A")</f>
        <v/>
      </c>
    </row>
    <row r="131" ht="15" customHeight="1">
      <c r="A131" s="14">
        <f>IF(INPUT!A131="","",INPUT!A131)</f>
        <v/>
      </c>
      <c r="B131" s="14">
        <f>IF(INPUT!B131="","",INPUT!B131)</f>
        <v/>
      </c>
      <c r="C131" s="14">
        <f>IF(INPUT!C131="","",INPUT!C131)</f>
        <v/>
      </c>
      <c r="D131" s="14">
        <f>IF(INPUT!D131="","",INPUT!D131)</f>
        <v/>
      </c>
      <c r="E131" s="15">
        <f>IF(INPUT!E131="","",TEXT(INPUT!E131,"0000000000"))</f>
        <v/>
      </c>
      <c r="F131" s="6">
        <f>IF(E131="","",IF(COUNTIF(INDIRECT("PPI_"&amp;CONFIG!$B$4&amp;"!$A:$A"),VALUE(E131))&gt;0,"IN PPI","NOT IN PPI"))</f>
        <v/>
      </c>
      <c r="G131" s="6">
        <f>IF(F131="","","-")</f>
        <v/>
      </c>
      <c r="H131" s="6">
        <f>IF(INPUT!F131="","",INPUT!F131)</f>
        <v/>
      </c>
      <c r="I131" s="6">
        <f>IF(F131="","","N/A")</f>
        <v/>
      </c>
    </row>
    <row r="132" ht="15" customHeight="1">
      <c r="A132" s="16">
        <f>IF(INPUT!A132="","",INPUT!A132)</f>
        <v/>
      </c>
      <c r="B132" s="16">
        <f>IF(INPUT!B132="","",INPUT!B132)</f>
        <v/>
      </c>
      <c r="C132" s="16">
        <f>IF(INPUT!C132="","",INPUT!C132)</f>
        <v/>
      </c>
      <c r="D132" s="16">
        <f>IF(INPUT!D132="","",INPUT!D132)</f>
        <v/>
      </c>
      <c r="E132" s="17">
        <f>IF(INPUT!E132="","",TEXT(INPUT!E132,"0000000000"))</f>
        <v/>
      </c>
      <c r="F132" s="4">
        <f>IF(E132="","",IF(COUNTIF(INDIRECT("PPI_"&amp;CONFIG!$B$4&amp;"!$A:$A"),VALUE(E132))&gt;0,"IN PPI","NOT IN PPI"))</f>
        <v/>
      </c>
      <c r="G132" s="4">
        <f>IF(F132="","","-")</f>
        <v/>
      </c>
      <c r="H132" s="4">
        <f>IF(INPUT!F132="","",INPUT!F132)</f>
        <v/>
      </c>
      <c r="I132" s="4">
        <f>IF(F132="","","N/A")</f>
        <v/>
      </c>
    </row>
    <row r="133" ht="15" customHeight="1">
      <c r="A133" s="14">
        <f>IF(INPUT!A133="","",INPUT!A133)</f>
        <v/>
      </c>
      <c r="B133" s="14">
        <f>IF(INPUT!B133="","",INPUT!B133)</f>
        <v/>
      </c>
      <c r="C133" s="14">
        <f>IF(INPUT!C133="","",INPUT!C133)</f>
        <v/>
      </c>
      <c r="D133" s="14">
        <f>IF(INPUT!D133="","",INPUT!D133)</f>
        <v/>
      </c>
      <c r="E133" s="15">
        <f>IF(INPUT!E133="","",TEXT(INPUT!E133,"0000000000"))</f>
        <v/>
      </c>
      <c r="F133" s="6">
        <f>IF(E133="","",IF(COUNTIF(INDIRECT("PPI_"&amp;CONFIG!$B$4&amp;"!$A:$A"),VALUE(E133))&gt;0,"IN PPI","NOT IN PPI"))</f>
        <v/>
      </c>
      <c r="G133" s="6">
        <f>IF(F133="","","-")</f>
        <v/>
      </c>
      <c r="H133" s="6">
        <f>IF(INPUT!F133="","",INPUT!F133)</f>
        <v/>
      </c>
      <c r="I133" s="6">
        <f>IF(F133="","","N/A")</f>
        <v/>
      </c>
    </row>
    <row r="134" ht="15" customHeight="1">
      <c r="A134" s="16">
        <f>IF(INPUT!A134="","",INPUT!A134)</f>
        <v/>
      </c>
      <c r="B134" s="16">
        <f>IF(INPUT!B134="","",INPUT!B134)</f>
        <v/>
      </c>
      <c r="C134" s="16">
        <f>IF(INPUT!C134="","",INPUT!C134)</f>
        <v/>
      </c>
      <c r="D134" s="16">
        <f>IF(INPUT!D134="","",INPUT!D134)</f>
        <v/>
      </c>
      <c r="E134" s="17">
        <f>IF(INPUT!E134="","",TEXT(INPUT!E134,"0000000000"))</f>
        <v/>
      </c>
      <c r="F134" s="4">
        <f>IF(E134="","",IF(COUNTIF(INDIRECT("PPI_"&amp;CONFIG!$B$4&amp;"!$A:$A"),VALUE(E134))&gt;0,"IN PPI","NOT IN PPI"))</f>
        <v/>
      </c>
      <c r="G134" s="4">
        <f>IF(F134="","","-")</f>
        <v/>
      </c>
      <c r="H134" s="4">
        <f>IF(INPUT!F134="","",INPUT!F134)</f>
        <v/>
      </c>
      <c r="I134" s="4">
        <f>IF(F134="","","N/A")</f>
        <v/>
      </c>
    </row>
    <row r="135" ht="15" customHeight="1">
      <c r="A135" s="14">
        <f>IF(INPUT!A135="","",INPUT!A135)</f>
        <v/>
      </c>
      <c r="B135" s="14">
        <f>IF(INPUT!B135="","",INPUT!B135)</f>
        <v/>
      </c>
      <c r="C135" s="14">
        <f>IF(INPUT!C135="","",INPUT!C135)</f>
        <v/>
      </c>
      <c r="D135" s="14">
        <f>IF(INPUT!D135="","",INPUT!D135)</f>
        <v/>
      </c>
      <c r="E135" s="15">
        <f>IF(INPUT!E135="","",TEXT(INPUT!E135,"0000000000"))</f>
        <v/>
      </c>
      <c r="F135" s="6">
        <f>IF(E135="","",IF(COUNTIF(INDIRECT("PPI_"&amp;CONFIG!$B$4&amp;"!$A:$A"),VALUE(E135))&gt;0,"IN PPI","NOT IN PPI"))</f>
        <v/>
      </c>
      <c r="G135" s="6">
        <f>IF(F135="","","-")</f>
        <v/>
      </c>
      <c r="H135" s="6">
        <f>IF(INPUT!F135="","",INPUT!F135)</f>
        <v/>
      </c>
      <c r="I135" s="6">
        <f>IF(F135="","","N/A")</f>
        <v/>
      </c>
    </row>
    <row r="136" ht="15" customHeight="1">
      <c r="A136" s="16">
        <f>IF(INPUT!A136="","",INPUT!A136)</f>
        <v/>
      </c>
      <c r="B136" s="16">
        <f>IF(INPUT!B136="","",INPUT!B136)</f>
        <v/>
      </c>
      <c r="C136" s="16">
        <f>IF(INPUT!C136="","",INPUT!C136)</f>
        <v/>
      </c>
      <c r="D136" s="16">
        <f>IF(INPUT!D136="","",INPUT!D136)</f>
        <v/>
      </c>
      <c r="E136" s="17">
        <f>IF(INPUT!E136="","",TEXT(INPUT!E136,"0000000000"))</f>
        <v/>
      </c>
      <c r="F136" s="4">
        <f>IF(E136="","",IF(COUNTIF(INDIRECT("PPI_"&amp;CONFIG!$B$4&amp;"!$A:$A"),VALUE(E136))&gt;0,"IN PPI","NOT IN PPI"))</f>
        <v/>
      </c>
      <c r="G136" s="4">
        <f>IF(F136="","","-")</f>
        <v/>
      </c>
      <c r="H136" s="4">
        <f>IF(INPUT!F136="","",INPUT!F136)</f>
        <v/>
      </c>
      <c r="I136" s="4">
        <f>IF(F136="","","N/A")</f>
        <v/>
      </c>
    </row>
    <row r="137" ht="15" customHeight="1">
      <c r="A137" s="14">
        <f>IF(INPUT!A137="","",INPUT!A137)</f>
        <v/>
      </c>
      <c r="B137" s="14">
        <f>IF(INPUT!B137="","",INPUT!B137)</f>
        <v/>
      </c>
      <c r="C137" s="14">
        <f>IF(INPUT!C137="","",INPUT!C137)</f>
        <v/>
      </c>
      <c r="D137" s="14">
        <f>IF(INPUT!D137="","",INPUT!D137)</f>
        <v/>
      </c>
      <c r="E137" s="15">
        <f>IF(INPUT!E137="","",TEXT(INPUT!E137,"0000000000"))</f>
        <v/>
      </c>
      <c r="F137" s="6">
        <f>IF(E137="","",IF(COUNTIF(INDIRECT("PPI_"&amp;CONFIG!$B$4&amp;"!$A:$A"),VALUE(E137))&gt;0,"IN PPI","NOT IN PPI"))</f>
        <v/>
      </c>
      <c r="G137" s="6">
        <f>IF(F137="","","-")</f>
        <v/>
      </c>
      <c r="H137" s="6">
        <f>IF(INPUT!F137="","",INPUT!F137)</f>
        <v/>
      </c>
      <c r="I137" s="6">
        <f>IF(F137="","","N/A")</f>
        <v/>
      </c>
    </row>
    <row r="138" ht="15" customHeight="1">
      <c r="A138" s="16">
        <f>IF(INPUT!A138="","",INPUT!A138)</f>
        <v/>
      </c>
      <c r="B138" s="16">
        <f>IF(INPUT!B138="","",INPUT!B138)</f>
        <v/>
      </c>
      <c r="C138" s="16">
        <f>IF(INPUT!C138="","",INPUT!C138)</f>
        <v/>
      </c>
      <c r="D138" s="16">
        <f>IF(INPUT!D138="","",INPUT!D138)</f>
        <v/>
      </c>
      <c r="E138" s="17">
        <f>IF(INPUT!E138="","",TEXT(INPUT!E138,"0000000000"))</f>
        <v/>
      </c>
      <c r="F138" s="4">
        <f>IF(E138="","",IF(COUNTIF(INDIRECT("PPI_"&amp;CONFIG!$B$4&amp;"!$A:$A"),VALUE(E138))&gt;0,"IN PPI","NOT IN PPI"))</f>
        <v/>
      </c>
      <c r="G138" s="4">
        <f>IF(F138="","","-")</f>
        <v/>
      </c>
      <c r="H138" s="4">
        <f>IF(INPUT!F138="","",INPUT!F138)</f>
        <v/>
      </c>
      <c r="I138" s="4">
        <f>IF(F138="","","N/A")</f>
        <v/>
      </c>
    </row>
    <row r="139" ht="15" customHeight="1">
      <c r="A139" s="14">
        <f>IF(INPUT!A139="","",INPUT!A139)</f>
        <v/>
      </c>
      <c r="B139" s="14">
        <f>IF(INPUT!B139="","",INPUT!B139)</f>
        <v/>
      </c>
      <c r="C139" s="14">
        <f>IF(INPUT!C139="","",INPUT!C139)</f>
        <v/>
      </c>
      <c r="D139" s="14">
        <f>IF(INPUT!D139="","",INPUT!D139)</f>
        <v/>
      </c>
      <c r="E139" s="15">
        <f>IF(INPUT!E139="","",TEXT(INPUT!E139,"0000000000"))</f>
        <v/>
      </c>
      <c r="F139" s="6">
        <f>IF(E139="","",IF(COUNTIF(INDIRECT("PPI_"&amp;CONFIG!$B$4&amp;"!$A:$A"),VALUE(E139))&gt;0,"IN PPI","NOT IN PPI"))</f>
        <v/>
      </c>
      <c r="G139" s="6">
        <f>IF(F139="","","-")</f>
        <v/>
      </c>
      <c r="H139" s="6">
        <f>IF(INPUT!F139="","",INPUT!F139)</f>
        <v/>
      </c>
      <c r="I139" s="6">
        <f>IF(F139="","","N/A")</f>
        <v/>
      </c>
    </row>
    <row r="140" ht="15" customHeight="1">
      <c r="A140" s="16">
        <f>IF(INPUT!A140="","",INPUT!A140)</f>
        <v/>
      </c>
      <c r="B140" s="16">
        <f>IF(INPUT!B140="","",INPUT!B140)</f>
        <v/>
      </c>
      <c r="C140" s="16">
        <f>IF(INPUT!C140="","",INPUT!C140)</f>
        <v/>
      </c>
      <c r="D140" s="16">
        <f>IF(INPUT!D140="","",INPUT!D140)</f>
        <v/>
      </c>
      <c r="E140" s="17">
        <f>IF(INPUT!E140="","",TEXT(INPUT!E140,"0000000000"))</f>
        <v/>
      </c>
      <c r="F140" s="4">
        <f>IF(E140="","",IF(COUNTIF(INDIRECT("PPI_"&amp;CONFIG!$B$4&amp;"!$A:$A"),VALUE(E140))&gt;0,"IN PPI","NOT IN PPI"))</f>
        <v/>
      </c>
      <c r="G140" s="4">
        <f>IF(F140="","","-")</f>
        <v/>
      </c>
      <c r="H140" s="4">
        <f>IF(INPUT!F140="","",INPUT!F140)</f>
        <v/>
      </c>
      <c r="I140" s="4">
        <f>IF(F140="","","N/A")</f>
        <v/>
      </c>
    </row>
    <row r="141" ht="15" customHeight="1">
      <c r="A141" s="14">
        <f>IF(INPUT!A141="","",INPUT!A141)</f>
        <v/>
      </c>
      <c r="B141" s="14">
        <f>IF(INPUT!B141="","",INPUT!B141)</f>
        <v/>
      </c>
      <c r="C141" s="14">
        <f>IF(INPUT!C141="","",INPUT!C141)</f>
        <v/>
      </c>
      <c r="D141" s="14">
        <f>IF(INPUT!D141="","",INPUT!D141)</f>
        <v/>
      </c>
      <c r="E141" s="15">
        <f>IF(INPUT!E141="","",TEXT(INPUT!E141,"0000000000"))</f>
        <v/>
      </c>
      <c r="F141" s="6">
        <f>IF(E141="","",IF(COUNTIF(INDIRECT("PPI_"&amp;CONFIG!$B$4&amp;"!$A:$A"),VALUE(E141))&gt;0,"IN PPI","NOT IN PPI"))</f>
        <v/>
      </c>
      <c r="G141" s="6">
        <f>IF(F141="","","-")</f>
        <v/>
      </c>
      <c r="H141" s="6">
        <f>IF(INPUT!F141="","",INPUT!F141)</f>
        <v/>
      </c>
      <c r="I141" s="6">
        <f>IF(F141="","","N/A")</f>
        <v/>
      </c>
    </row>
    <row r="142" ht="15" customHeight="1">
      <c r="A142" s="16">
        <f>IF(INPUT!A142="","",INPUT!A142)</f>
        <v/>
      </c>
      <c r="B142" s="16">
        <f>IF(INPUT!B142="","",INPUT!B142)</f>
        <v/>
      </c>
      <c r="C142" s="16">
        <f>IF(INPUT!C142="","",INPUT!C142)</f>
        <v/>
      </c>
      <c r="D142" s="16">
        <f>IF(INPUT!D142="","",INPUT!D142)</f>
        <v/>
      </c>
      <c r="E142" s="17">
        <f>IF(INPUT!E142="","",TEXT(INPUT!E142,"0000000000"))</f>
        <v/>
      </c>
      <c r="F142" s="4">
        <f>IF(E142="","",IF(COUNTIF(INDIRECT("PPI_"&amp;CONFIG!$B$4&amp;"!$A:$A"),VALUE(E142))&gt;0,"IN PPI","NOT IN PPI"))</f>
        <v/>
      </c>
      <c r="G142" s="4">
        <f>IF(F142="","","-")</f>
        <v/>
      </c>
      <c r="H142" s="4">
        <f>IF(INPUT!F142="","",INPUT!F142)</f>
        <v/>
      </c>
      <c r="I142" s="4">
        <f>IF(F142="","","N/A")</f>
        <v/>
      </c>
    </row>
    <row r="143" ht="15" customHeight="1">
      <c r="A143" s="14">
        <f>IF(INPUT!A143="","",INPUT!A143)</f>
        <v/>
      </c>
      <c r="B143" s="14">
        <f>IF(INPUT!B143="","",INPUT!B143)</f>
        <v/>
      </c>
      <c r="C143" s="14">
        <f>IF(INPUT!C143="","",INPUT!C143)</f>
        <v/>
      </c>
      <c r="D143" s="14">
        <f>IF(INPUT!D143="","",INPUT!D143)</f>
        <v/>
      </c>
      <c r="E143" s="15">
        <f>IF(INPUT!E143="","",TEXT(INPUT!E143,"0000000000"))</f>
        <v/>
      </c>
      <c r="F143" s="6">
        <f>IF(E143="","",IF(COUNTIF(INDIRECT("PPI_"&amp;CONFIG!$B$4&amp;"!$A:$A"),VALUE(E143))&gt;0,"IN PPI","NOT IN PPI"))</f>
        <v/>
      </c>
      <c r="G143" s="6">
        <f>IF(F143="","","-")</f>
        <v/>
      </c>
      <c r="H143" s="6">
        <f>IF(INPUT!F143="","",INPUT!F143)</f>
        <v/>
      </c>
      <c r="I143" s="6">
        <f>IF(F143="","","N/A")</f>
        <v/>
      </c>
    </row>
    <row r="144" ht="15" customHeight="1">
      <c r="A144" s="16">
        <f>IF(INPUT!A144="","",INPUT!A144)</f>
        <v/>
      </c>
      <c r="B144" s="16">
        <f>IF(INPUT!B144="","",INPUT!B144)</f>
        <v/>
      </c>
      <c r="C144" s="16">
        <f>IF(INPUT!C144="","",INPUT!C144)</f>
        <v/>
      </c>
      <c r="D144" s="16">
        <f>IF(INPUT!D144="","",INPUT!D144)</f>
        <v/>
      </c>
      <c r="E144" s="17">
        <f>IF(INPUT!E144="","",TEXT(INPUT!E144,"0000000000"))</f>
        <v/>
      </c>
      <c r="F144" s="4">
        <f>IF(E144="","",IF(COUNTIF(INDIRECT("PPI_"&amp;CONFIG!$B$4&amp;"!$A:$A"),VALUE(E144))&gt;0,"IN PPI","NOT IN PPI"))</f>
        <v/>
      </c>
      <c r="G144" s="4">
        <f>IF(F144="","","-")</f>
        <v/>
      </c>
      <c r="H144" s="4">
        <f>IF(INPUT!F144="","",INPUT!F144)</f>
        <v/>
      </c>
      <c r="I144" s="4">
        <f>IF(F144="","","N/A")</f>
        <v/>
      </c>
    </row>
    <row r="145" ht="15" customHeight="1">
      <c r="A145" s="14">
        <f>IF(INPUT!A145="","",INPUT!A145)</f>
        <v/>
      </c>
      <c r="B145" s="14">
        <f>IF(INPUT!B145="","",INPUT!B145)</f>
        <v/>
      </c>
      <c r="C145" s="14">
        <f>IF(INPUT!C145="","",INPUT!C145)</f>
        <v/>
      </c>
      <c r="D145" s="14">
        <f>IF(INPUT!D145="","",INPUT!D145)</f>
        <v/>
      </c>
      <c r="E145" s="15">
        <f>IF(INPUT!E145="","",TEXT(INPUT!E145,"0000000000"))</f>
        <v/>
      </c>
      <c r="F145" s="6">
        <f>IF(E145="","",IF(COUNTIF(INDIRECT("PPI_"&amp;CONFIG!$B$4&amp;"!$A:$A"),VALUE(E145))&gt;0,"IN PPI","NOT IN PPI"))</f>
        <v/>
      </c>
      <c r="G145" s="6">
        <f>IF(F145="","","-")</f>
        <v/>
      </c>
      <c r="H145" s="6">
        <f>IF(INPUT!F145="","",INPUT!F145)</f>
        <v/>
      </c>
      <c r="I145" s="6">
        <f>IF(F145="","","N/A")</f>
        <v/>
      </c>
    </row>
    <row r="146" ht="15" customHeight="1">
      <c r="A146" s="16">
        <f>IF(INPUT!A146="","",INPUT!A146)</f>
        <v/>
      </c>
      <c r="B146" s="16">
        <f>IF(INPUT!B146="","",INPUT!B146)</f>
        <v/>
      </c>
      <c r="C146" s="16">
        <f>IF(INPUT!C146="","",INPUT!C146)</f>
        <v/>
      </c>
      <c r="D146" s="16">
        <f>IF(INPUT!D146="","",INPUT!D146)</f>
        <v/>
      </c>
      <c r="E146" s="17">
        <f>IF(INPUT!E146="","",TEXT(INPUT!E146,"0000000000"))</f>
        <v/>
      </c>
      <c r="F146" s="4">
        <f>IF(E146="","",IF(COUNTIF(INDIRECT("PPI_"&amp;CONFIG!$B$4&amp;"!$A:$A"),VALUE(E146))&gt;0,"IN PPI","NOT IN PPI"))</f>
        <v/>
      </c>
      <c r="G146" s="4">
        <f>IF(F146="","","-")</f>
        <v/>
      </c>
      <c r="H146" s="4">
        <f>IF(INPUT!F146="","",INPUT!F146)</f>
        <v/>
      </c>
      <c r="I146" s="4">
        <f>IF(F146="","","N/A")</f>
        <v/>
      </c>
    </row>
    <row r="147" ht="15" customHeight="1">
      <c r="A147" s="14">
        <f>IF(INPUT!A147="","",INPUT!A147)</f>
        <v/>
      </c>
      <c r="B147" s="14">
        <f>IF(INPUT!B147="","",INPUT!B147)</f>
        <v/>
      </c>
      <c r="C147" s="14">
        <f>IF(INPUT!C147="","",INPUT!C147)</f>
        <v/>
      </c>
      <c r="D147" s="14">
        <f>IF(INPUT!D147="","",INPUT!D147)</f>
        <v/>
      </c>
      <c r="E147" s="15">
        <f>IF(INPUT!E147="","",TEXT(INPUT!E147,"0000000000"))</f>
        <v/>
      </c>
      <c r="F147" s="6">
        <f>IF(E147="","",IF(COUNTIF(INDIRECT("PPI_"&amp;CONFIG!$B$4&amp;"!$A:$A"),VALUE(E147))&gt;0,"IN PPI","NOT IN PPI"))</f>
        <v/>
      </c>
      <c r="G147" s="6">
        <f>IF(F147="","","-")</f>
        <v/>
      </c>
      <c r="H147" s="6">
        <f>IF(INPUT!F147="","",INPUT!F147)</f>
        <v/>
      </c>
      <c r="I147" s="6">
        <f>IF(F147="","","N/A")</f>
        <v/>
      </c>
    </row>
    <row r="148" ht="15" customHeight="1">
      <c r="A148" s="16">
        <f>IF(INPUT!A148="","",INPUT!A148)</f>
        <v/>
      </c>
      <c r="B148" s="16">
        <f>IF(INPUT!B148="","",INPUT!B148)</f>
        <v/>
      </c>
      <c r="C148" s="16">
        <f>IF(INPUT!C148="","",INPUT!C148)</f>
        <v/>
      </c>
      <c r="D148" s="16">
        <f>IF(INPUT!D148="","",INPUT!D148)</f>
        <v/>
      </c>
      <c r="E148" s="17">
        <f>IF(INPUT!E148="","",TEXT(INPUT!E148,"0000000000"))</f>
        <v/>
      </c>
      <c r="F148" s="4">
        <f>IF(E148="","",IF(COUNTIF(INDIRECT("PPI_"&amp;CONFIG!$B$4&amp;"!$A:$A"),VALUE(E148))&gt;0,"IN PPI","NOT IN PPI"))</f>
        <v/>
      </c>
      <c r="G148" s="4">
        <f>IF(F148="","","-")</f>
        <v/>
      </c>
      <c r="H148" s="4">
        <f>IF(INPUT!F148="","",INPUT!F148)</f>
        <v/>
      </c>
      <c r="I148" s="4">
        <f>IF(F148="","","N/A")</f>
        <v/>
      </c>
    </row>
    <row r="149" ht="15" customHeight="1">
      <c r="A149" s="14">
        <f>IF(INPUT!A149="","",INPUT!A149)</f>
        <v/>
      </c>
      <c r="B149" s="14">
        <f>IF(INPUT!B149="","",INPUT!B149)</f>
        <v/>
      </c>
      <c r="C149" s="14">
        <f>IF(INPUT!C149="","",INPUT!C149)</f>
        <v/>
      </c>
      <c r="D149" s="14">
        <f>IF(INPUT!D149="","",INPUT!D149)</f>
        <v/>
      </c>
      <c r="E149" s="15">
        <f>IF(INPUT!E149="","",TEXT(INPUT!E149,"0000000000"))</f>
        <v/>
      </c>
      <c r="F149" s="6">
        <f>IF(E149="","",IF(COUNTIF(INDIRECT("PPI_"&amp;CONFIG!$B$4&amp;"!$A:$A"),VALUE(E149))&gt;0,"IN PPI","NOT IN PPI"))</f>
        <v/>
      </c>
      <c r="G149" s="6">
        <f>IF(F149="","","-")</f>
        <v/>
      </c>
      <c r="H149" s="6">
        <f>IF(INPUT!F149="","",INPUT!F149)</f>
        <v/>
      </c>
      <c r="I149" s="6">
        <f>IF(F149="","","N/A")</f>
        <v/>
      </c>
    </row>
    <row r="150" ht="15" customHeight="1">
      <c r="A150" s="16">
        <f>IF(INPUT!A150="","",INPUT!A150)</f>
        <v/>
      </c>
      <c r="B150" s="16">
        <f>IF(INPUT!B150="","",INPUT!B150)</f>
        <v/>
      </c>
      <c r="C150" s="16">
        <f>IF(INPUT!C150="","",INPUT!C150)</f>
        <v/>
      </c>
      <c r="D150" s="16">
        <f>IF(INPUT!D150="","",INPUT!D150)</f>
        <v/>
      </c>
      <c r="E150" s="17">
        <f>IF(INPUT!E150="","",TEXT(INPUT!E150,"0000000000"))</f>
        <v/>
      </c>
      <c r="F150" s="4">
        <f>IF(E150="","",IF(COUNTIF(INDIRECT("PPI_"&amp;CONFIG!$B$4&amp;"!$A:$A"),VALUE(E150))&gt;0,"IN PPI","NOT IN PPI"))</f>
        <v/>
      </c>
      <c r="G150" s="4">
        <f>IF(F150="","","-")</f>
        <v/>
      </c>
      <c r="H150" s="4">
        <f>IF(INPUT!F150="","",INPUT!F150)</f>
        <v/>
      </c>
      <c r="I150" s="4">
        <f>IF(F150="","","N/A")</f>
        <v/>
      </c>
    </row>
    <row r="151" ht="15" customHeight="1">
      <c r="A151" s="14">
        <f>IF(INPUT!A151="","",INPUT!A151)</f>
        <v/>
      </c>
      <c r="B151" s="14">
        <f>IF(INPUT!B151="","",INPUT!B151)</f>
        <v/>
      </c>
      <c r="C151" s="14">
        <f>IF(INPUT!C151="","",INPUT!C151)</f>
        <v/>
      </c>
      <c r="D151" s="14">
        <f>IF(INPUT!D151="","",INPUT!D151)</f>
        <v/>
      </c>
      <c r="E151" s="15">
        <f>IF(INPUT!E151="","",TEXT(INPUT!E151,"0000000000"))</f>
        <v/>
      </c>
      <c r="F151" s="6">
        <f>IF(E151="","",IF(COUNTIF(INDIRECT("PPI_"&amp;CONFIG!$B$4&amp;"!$A:$A"),VALUE(E151))&gt;0,"IN PPI","NOT IN PPI"))</f>
        <v/>
      </c>
      <c r="G151" s="6">
        <f>IF(F151="","","-")</f>
        <v/>
      </c>
      <c r="H151" s="6">
        <f>IF(INPUT!F151="","",INPUT!F151)</f>
        <v/>
      </c>
      <c r="I151" s="6">
        <f>IF(F151="","","N/A")</f>
        <v/>
      </c>
    </row>
    <row r="152" ht="15" customHeight="1">
      <c r="A152" s="16">
        <f>IF(INPUT!A152="","",INPUT!A152)</f>
        <v/>
      </c>
      <c r="B152" s="16">
        <f>IF(INPUT!B152="","",INPUT!B152)</f>
        <v/>
      </c>
      <c r="C152" s="16">
        <f>IF(INPUT!C152="","",INPUT!C152)</f>
        <v/>
      </c>
      <c r="D152" s="16">
        <f>IF(INPUT!D152="","",INPUT!D152)</f>
        <v/>
      </c>
      <c r="E152" s="17">
        <f>IF(INPUT!E152="","",TEXT(INPUT!E152,"0000000000"))</f>
        <v/>
      </c>
      <c r="F152" s="4">
        <f>IF(E152="","",IF(COUNTIF(INDIRECT("PPI_"&amp;CONFIG!$B$4&amp;"!$A:$A"),VALUE(E152))&gt;0,"IN PPI","NOT IN PPI"))</f>
        <v/>
      </c>
      <c r="G152" s="4">
        <f>IF(F152="","","-")</f>
        <v/>
      </c>
      <c r="H152" s="4">
        <f>IF(INPUT!F152="","",INPUT!F152)</f>
        <v/>
      </c>
      <c r="I152" s="4">
        <f>IF(F152="","","N/A")</f>
        <v/>
      </c>
    </row>
    <row r="153" ht="15" customHeight="1">
      <c r="A153" s="14">
        <f>IF(INPUT!A153="","",INPUT!A153)</f>
        <v/>
      </c>
      <c r="B153" s="14">
        <f>IF(INPUT!B153="","",INPUT!B153)</f>
        <v/>
      </c>
      <c r="C153" s="14">
        <f>IF(INPUT!C153="","",INPUT!C153)</f>
        <v/>
      </c>
      <c r="D153" s="14">
        <f>IF(INPUT!D153="","",INPUT!D153)</f>
        <v/>
      </c>
      <c r="E153" s="15">
        <f>IF(INPUT!E153="","",TEXT(INPUT!E153,"0000000000"))</f>
        <v/>
      </c>
      <c r="F153" s="6">
        <f>IF(E153="","",IF(COUNTIF(INDIRECT("PPI_"&amp;CONFIG!$B$4&amp;"!$A:$A"),VALUE(E153))&gt;0,"IN PPI","NOT IN PPI"))</f>
        <v/>
      </c>
      <c r="G153" s="6">
        <f>IF(F153="","","-")</f>
        <v/>
      </c>
      <c r="H153" s="6">
        <f>IF(INPUT!F153="","",INPUT!F153)</f>
        <v/>
      </c>
      <c r="I153" s="6">
        <f>IF(F153="","","N/A")</f>
        <v/>
      </c>
    </row>
    <row r="154" ht="15" customHeight="1">
      <c r="A154" s="16">
        <f>IF(INPUT!A154="","",INPUT!A154)</f>
        <v/>
      </c>
      <c r="B154" s="16">
        <f>IF(INPUT!B154="","",INPUT!B154)</f>
        <v/>
      </c>
      <c r="C154" s="16">
        <f>IF(INPUT!C154="","",INPUT!C154)</f>
        <v/>
      </c>
      <c r="D154" s="16">
        <f>IF(INPUT!D154="","",INPUT!D154)</f>
        <v/>
      </c>
      <c r="E154" s="17">
        <f>IF(INPUT!E154="","",TEXT(INPUT!E154,"0000000000"))</f>
        <v/>
      </c>
      <c r="F154" s="4">
        <f>IF(E154="","",IF(COUNTIF(INDIRECT("PPI_"&amp;CONFIG!$B$4&amp;"!$A:$A"),VALUE(E154))&gt;0,"IN PPI","NOT IN PPI"))</f>
        <v/>
      </c>
      <c r="G154" s="4">
        <f>IF(F154="","","-")</f>
        <v/>
      </c>
      <c r="H154" s="4">
        <f>IF(INPUT!F154="","",INPUT!F154)</f>
        <v/>
      </c>
      <c r="I154" s="4">
        <f>IF(F154="","","N/A")</f>
        <v/>
      </c>
    </row>
    <row r="155" ht="15" customHeight="1">
      <c r="A155" s="14">
        <f>IF(INPUT!A155="","",INPUT!A155)</f>
        <v/>
      </c>
      <c r="B155" s="14">
        <f>IF(INPUT!B155="","",INPUT!B155)</f>
        <v/>
      </c>
      <c r="C155" s="14">
        <f>IF(INPUT!C155="","",INPUT!C155)</f>
        <v/>
      </c>
      <c r="D155" s="14">
        <f>IF(INPUT!D155="","",INPUT!D155)</f>
        <v/>
      </c>
      <c r="E155" s="15">
        <f>IF(INPUT!E155="","",TEXT(INPUT!E155,"0000000000"))</f>
        <v/>
      </c>
      <c r="F155" s="6">
        <f>IF(E155="","",IF(COUNTIF(INDIRECT("PPI_"&amp;CONFIG!$B$4&amp;"!$A:$A"),VALUE(E155))&gt;0,"IN PPI","NOT IN PPI"))</f>
        <v/>
      </c>
      <c r="G155" s="6">
        <f>IF(F155="","","-")</f>
        <v/>
      </c>
      <c r="H155" s="6">
        <f>IF(INPUT!F155="","",INPUT!F155)</f>
        <v/>
      </c>
      <c r="I155" s="6">
        <f>IF(F155="","","N/A")</f>
        <v/>
      </c>
    </row>
    <row r="156" ht="15" customHeight="1">
      <c r="A156" s="16">
        <f>IF(INPUT!A156="","",INPUT!A156)</f>
        <v/>
      </c>
      <c r="B156" s="16">
        <f>IF(INPUT!B156="","",INPUT!B156)</f>
        <v/>
      </c>
      <c r="C156" s="16">
        <f>IF(INPUT!C156="","",INPUT!C156)</f>
        <v/>
      </c>
      <c r="D156" s="16">
        <f>IF(INPUT!D156="","",INPUT!D156)</f>
        <v/>
      </c>
      <c r="E156" s="17">
        <f>IF(INPUT!E156="","",TEXT(INPUT!E156,"0000000000"))</f>
        <v/>
      </c>
      <c r="F156" s="4">
        <f>IF(E156="","",IF(COUNTIF(INDIRECT("PPI_"&amp;CONFIG!$B$4&amp;"!$A:$A"),VALUE(E156))&gt;0,"IN PPI","NOT IN PPI"))</f>
        <v/>
      </c>
      <c r="G156" s="4">
        <f>IF(F156="","","-")</f>
        <v/>
      </c>
      <c r="H156" s="4">
        <f>IF(INPUT!F156="","",INPUT!F156)</f>
        <v/>
      </c>
      <c r="I156" s="4">
        <f>IF(F156="","","N/A")</f>
        <v/>
      </c>
    </row>
    <row r="157" ht="15" customHeight="1">
      <c r="A157" s="14">
        <f>IF(INPUT!A157="","",INPUT!A157)</f>
        <v/>
      </c>
      <c r="B157" s="14">
        <f>IF(INPUT!B157="","",INPUT!B157)</f>
        <v/>
      </c>
      <c r="C157" s="14">
        <f>IF(INPUT!C157="","",INPUT!C157)</f>
        <v/>
      </c>
      <c r="D157" s="14">
        <f>IF(INPUT!D157="","",INPUT!D157)</f>
        <v/>
      </c>
      <c r="E157" s="15">
        <f>IF(INPUT!E157="","",TEXT(INPUT!E157,"0000000000"))</f>
        <v/>
      </c>
      <c r="F157" s="6">
        <f>IF(E157="","",IF(COUNTIF(INDIRECT("PPI_"&amp;CONFIG!$B$4&amp;"!$A:$A"),VALUE(E157))&gt;0,"IN PPI","NOT IN PPI"))</f>
        <v/>
      </c>
      <c r="G157" s="6">
        <f>IF(F157="","","-")</f>
        <v/>
      </c>
      <c r="H157" s="6">
        <f>IF(INPUT!F157="","",INPUT!F157)</f>
        <v/>
      </c>
      <c r="I157" s="6">
        <f>IF(F157="","","N/A")</f>
        <v/>
      </c>
    </row>
    <row r="158" ht="15" customHeight="1">
      <c r="A158" s="16">
        <f>IF(INPUT!A158="","",INPUT!A158)</f>
        <v/>
      </c>
      <c r="B158" s="16">
        <f>IF(INPUT!B158="","",INPUT!B158)</f>
        <v/>
      </c>
      <c r="C158" s="16">
        <f>IF(INPUT!C158="","",INPUT!C158)</f>
        <v/>
      </c>
      <c r="D158" s="16">
        <f>IF(INPUT!D158="","",INPUT!D158)</f>
        <v/>
      </c>
      <c r="E158" s="17">
        <f>IF(INPUT!E158="","",TEXT(INPUT!E158,"0000000000"))</f>
        <v/>
      </c>
      <c r="F158" s="4">
        <f>IF(E158="","",IF(COUNTIF(INDIRECT("PPI_"&amp;CONFIG!$B$4&amp;"!$A:$A"),VALUE(E158))&gt;0,"IN PPI","NOT IN PPI"))</f>
        <v/>
      </c>
      <c r="G158" s="4">
        <f>IF(F158="","","-")</f>
        <v/>
      </c>
      <c r="H158" s="4">
        <f>IF(INPUT!F158="","",INPUT!F158)</f>
        <v/>
      </c>
      <c r="I158" s="4">
        <f>IF(F158="","","N/A")</f>
        <v/>
      </c>
    </row>
    <row r="159" ht="15" customHeight="1">
      <c r="A159" s="14">
        <f>IF(INPUT!A159="","",INPUT!A159)</f>
        <v/>
      </c>
      <c r="B159" s="14">
        <f>IF(INPUT!B159="","",INPUT!B159)</f>
        <v/>
      </c>
      <c r="C159" s="14">
        <f>IF(INPUT!C159="","",INPUT!C159)</f>
        <v/>
      </c>
      <c r="D159" s="14">
        <f>IF(INPUT!D159="","",INPUT!D159)</f>
        <v/>
      </c>
      <c r="E159" s="15">
        <f>IF(INPUT!E159="","",TEXT(INPUT!E159,"0000000000"))</f>
        <v/>
      </c>
      <c r="F159" s="6">
        <f>IF(E159="","",IF(COUNTIF(INDIRECT("PPI_"&amp;CONFIG!$B$4&amp;"!$A:$A"),VALUE(E159))&gt;0,"IN PPI","NOT IN PPI"))</f>
        <v/>
      </c>
      <c r="G159" s="6">
        <f>IF(F159="","","-")</f>
        <v/>
      </c>
      <c r="H159" s="6">
        <f>IF(INPUT!F159="","",INPUT!F159)</f>
        <v/>
      </c>
      <c r="I159" s="6">
        <f>IF(F159="","","N/A")</f>
        <v/>
      </c>
    </row>
    <row r="160" ht="15" customHeight="1">
      <c r="A160" s="16">
        <f>IF(INPUT!A160="","",INPUT!A160)</f>
        <v/>
      </c>
      <c r="B160" s="16">
        <f>IF(INPUT!B160="","",INPUT!B160)</f>
        <v/>
      </c>
      <c r="C160" s="16">
        <f>IF(INPUT!C160="","",INPUT!C160)</f>
        <v/>
      </c>
      <c r="D160" s="16">
        <f>IF(INPUT!D160="","",INPUT!D160)</f>
        <v/>
      </c>
      <c r="E160" s="17">
        <f>IF(INPUT!E160="","",TEXT(INPUT!E160,"0000000000"))</f>
        <v/>
      </c>
      <c r="F160" s="4">
        <f>IF(E160="","",IF(COUNTIF(INDIRECT("PPI_"&amp;CONFIG!$B$4&amp;"!$A:$A"),VALUE(E160))&gt;0,"IN PPI","NOT IN PPI"))</f>
        <v/>
      </c>
      <c r="G160" s="4">
        <f>IF(F160="","","-")</f>
        <v/>
      </c>
      <c r="H160" s="4">
        <f>IF(INPUT!F160="","",INPUT!F160)</f>
        <v/>
      </c>
      <c r="I160" s="4">
        <f>IF(F160="","","N/A")</f>
        <v/>
      </c>
    </row>
    <row r="161" ht="15" customHeight="1">
      <c r="A161" s="14">
        <f>IF(INPUT!A161="","",INPUT!A161)</f>
        <v/>
      </c>
      <c r="B161" s="14">
        <f>IF(INPUT!B161="","",INPUT!B161)</f>
        <v/>
      </c>
      <c r="C161" s="14">
        <f>IF(INPUT!C161="","",INPUT!C161)</f>
        <v/>
      </c>
      <c r="D161" s="14">
        <f>IF(INPUT!D161="","",INPUT!D161)</f>
        <v/>
      </c>
      <c r="E161" s="15">
        <f>IF(INPUT!E161="","",TEXT(INPUT!E161,"0000000000"))</f>
        <v/>
      </c>
      <c r="F161" s="6">
        <f>IF(E161="","",IF(COUNTIF(INDIRECT("PPI_"&amp;CONFIG!$B$4&amp;"!$A:$A"),VALUE(E161))&gt;0,"IN PPI","NOT IN PPI"))</f>
        <v/>
      </c>
      <c r="G161" s="6">
        <f>IF(F161="","","-")</f>
        <v/>
      </c>
      <c r="H161" s="6">
        <f>IF(INPUT!F161="","",INPUT!F161)</f>
        <v/>
      </c>
      <c r="I161" s="6">
        <f>IF(F161="","","N/A")</f>
        <v/>
      </c>
    </row>
    <row r="162" ht="15" customHeight="1">
      <c r="A162" s="16">
        <f>IF(INPUT!A162="","",INPUT!A162)</f>
        <v/>
      </c>
      <c r="B162" s="16">
        <f>IF(INPUT!B162="","",INPUT!B162)</f>
        <v/>
      </c>
      <c r="C162" s="16">
        <f>IF(INPUT!C162="","",INPUT!C162)</f>
        <v/>
      </c>
      <c r="D162" s="16">
        <f>IF(INPUT!D162="","",INPUT!D162)</f>
        <v/>
      </c>
      <c r="E162" s="17">
        <f>IF(INPUT!E162="","",TEXT(INPUT!E162,"0000000000"))</f>
        <v/>
      </c>
      <c r="F162" s="4">
        <f>IF(E162="","",IF(COUNTIF(INDIRECT("PPI_"&amp;CONFIG!$B$4&amp;"!$A:$A"),VALUE(E162))&gt;0,"IN PPI","NOT IN PPI"))</f>
        <v/>
      </c>
      <c r="G162" s="4">
        <f>IF(F162="","","-")</f>
        <v/>
      </c>
      <c r="H162" s="4">
        <f>IF(INPUT!F162="","",INPUT!F162)</f>
        <v/>
      </c>
      <c r="I162" s="4">
        <f>IF(F162="","","N/A")</f>
        <v/>
      </c>
    </row>
    <row r="163" ht="15" customHeight="1">
      <c r="A163" s="14">
        <f>IF(INPUT!A163="","",INPUT!A163)</f>
        <v/>
      </c>
      <c r="B163" s="14">
        <f>IF(INPUT!B163="","",INPUT!B163)</f>
        <v/>
      </c>
      <c r="C163" s="14">
        <f>IF(INPUT!C163="","",INPUT!C163)</f>
        <v/>
      </c>
      <c r="D163" s="14">
        <f>IF(INPUT!D163="","",INPUT!D163)</f>
        <v/>
      </c>
      <c r="E163" s="15">
        <f>IF(INPUT!E163="","",TEXT(INPUT!E163,"0000000000"))</f>
        <v/>
      </c>
      <c r="F163" s="6">
        <f>IF(E163="","",IF(COUNTIF(INDIRECT("PPI_"&amp;CONFIG!$B$4&amp;"!$A:$A"),VALUE(E163))&gt;0,"IN PPI","NOT IN PPI"))</f>
        <v/>
      </c>
      <c r="G163" s="6">
        <f>IF(F163="","","-")</f>
        <v/>
      </c>
      <c r="H163" s="6">
        <f>IF(INPUT!F163="","",INPUT!F163)</f>
        <v/>
      </c>
      <c r="I163" s="6">
        <f>IF(F163="","","N/A")</f>
        <v/>
      </c>
    </row>
    <row r="164" ht="15" customHeight="1">
      <c r="A164" s="16">
        <f>IF(INPUT!A164="","",INPUT!A164)</f>
        <v/>
      </c>
      <c r="B164" s="16">
        <f>IF(INPUT!B164="","",INPUT!B164)</f>
        <v/>
      </c>
      <c r="C164" s="16">
        <f>IF(INPUT!C164="","",INPUT!C164)</f>
        <v/>
      </c>
      <c r="D164" s="16">
        <f>IF(INPUT!D164="","",INPUT!D164)</f>
        <v/>
      </c>
      <c r="E164" s="17">
        <f>IF(INPUT!E164="","",TEXT(INPUT!E164,"0000000000"))</f>
        <v/>
      </c>
      <c r="F164" s="4">
        <f>IF(E164="","",IF(COUNTIF(INDIRECT("PPI_"&amp;CONFIG!$B$4&amp;"!$A:$A"),VALUE(E164))&gt;0,"IN PPI","NOT IN PPI"))</f>
        <v/>
      </c>
      <c r="G164" s="4">
        <f>IF(F164="","","-")</f>
        <v/>
      </c>
      <c r="H164" s="4">
        <f>IF(INPUT!F164="","",INPUT!F164)</f>
        <v/>
      </c>
      <c r="I164" s="4">
        <f>IF(F164="","","N/A")</f>
        <v/>
      </c>
    </row>
    <row r="165" ht="15" customHeight="1">
      <c r="A165" s="14">
        <f>IF(INPUT!A165="","",INPUT!A165)</f>
        <v/>
      </c>
      <c r="B165" s="14">
        <f>IF(INPUT!B165="","",INPUT!B165)</f>
        <v/>
      </c>
      <c r="C165" s="14">
        <f>IF(INPUT!C165="","",INPUT!C165)</f>
        <v/>
      </c>
      <c r="D165" s="14">
        <f>IF(INPUT!D165="","",INPUT!D165)</f>
        <v/>
      </c>
      <c r="E165" s="15">
        <f>IF(INPUT!E165="","",TEXT(INPUT!E165,"0000000000"))</f>
        <v/>
      </c>
      <c r="F165" s="6">
        <f>IF(E165="","",IF(COUNTIF(INDIRECT("PPI_"&amp;CONFIG!$B$4&amp;"!$A:$A"),VALUE(E165))&gt;0,"IN PPI","NOT IN PPI"))</f>
        <v/>
      </c>
      <c r="G165" s="6">
        <f>IF(F165="","","-")</f>
        <v/>
      </c>
      <c r="H165" s="6">
        <f>IF(INPUT!F165="","",INPUT!F165)</f>
        <v/>
      </c>
      <c r="I165" s="6">
        <f>IF(F165="","","N/A")</f>
        <v/>
      </c>
    </row>
    <row r="166" ht="15" customHeight="1">
      <c r="A166" s="16">
        <f>IF(INPUT!A166="","",INPUT!A166)</f>
        <v/>
      </c>
      <c r="B166" s="16">
        <f>IF(INPUT!B166="","",INPUT!B166)</f>
        <v/>
      </c>
      <c r="C166" s="16">
        <f>IF(INPUT!C166="","",INPUT!C166)</f>
        <v/>
      </c>
      <c r="D166" s="16">
        <f>IF(INPUT!D166="","",INPUT!D166)</f>
        <v/>
      </c>
      <c r="E166" s="17">
        <f>IF(INPUT!E166="","",TEXT(INPUT!E166,"0000000000"))</f>
        <v/>
      </c>
      <c r="F166" s="4">
        <f>IF(E166="","",IF(COUNTIF(INDIRECT("PPI_"&amp;CONFIG!$B$4&amp;"!$A:$A"),VALUE(E166))&gt;0,"IN PPI","NOT IN PPI"))</f>
        <v/>
      </c>
      <c r="G166" s="4">
        <f>IF(F166="","","-")</f>
        <v/>
      </c>
      <c r="H166" s="4">
        <f>IF(INPUT!F166="","",INPUT!F166)</f>
        <v/>
      </c>
      <c r="I166" s="4">
        <f>IF(F166="","","N/A")</f>
        <v/>
      </c>
    </row>
    <row r="167" ht="15" customHeight="1">
      <c r="A167" s="14">
        <f>IF(INPUT!A167="","",INPUT!A167)</f>
        <v/>
      </c>
      <c r="B167" s="14">
        <f>IF(INPUT!B167="","",INPUT!B167)</f>
        <v/>
      </c>
      <c r="C167" s="14">
        <f>IF(INPUT!C167="","",INPUT!C167)</f>
        <v/>
      </c>
      <c r="D167" s="14">
        <f>IF(INPUT!D167="","",INPUT!D167)</f>
        <v/>
      </c>
      <c r="E167" s="15">
        <f>IF(INPUT!E167="","",TEXT(INPUT!E167,"0000000000"))</f>
        <v/>
      </c>
      <c r="F167" s="6">
        <f>IF(E167="","",IF(COUNTIF(INDIRECT("PPI_"&amp;CONFIG!$B$4&amp;"!$A:$A"),VALUE(E167))&gt;0,"IN PPI","NOT IN PPI"))</f>
        <v/>
      </c>
      <c r="G167" s="6">
        <f>IF(F167="","","-")</f>
        <v/>
      </c>
      <c r="H167" s="6">
        <f>IF(INPUT!F167="","",INPUT!F167)</f>
        <v/>
      </c>
      <c r="I167" s="6">
        <f>IF(F167="","","N/A")</f>
        <v/>
      </c>
    </row>
    <row r="168" ht="15" customHeight="1">
      <c r="A168" s="16">
        <f>IF(INPUT!A168="","",INPUT!A168)</f>
        <v/>
      </c>
      <c r="B168" s="16">
        <f>IF(INPUT!B168="","",INPUT!B168)</f>
        <v/>
      </c>
      <c r="C168" s="16">
        <f>IF(INPUT!C168="","",INPUT!C168)</f>
        <v/>
      </c>
      <c r="D168" s="16">
        <f>IF(INPUT!D168="","",INPUT!D168)</f>
        <v/>
      </c>
      <c r="E168" s="17">
        <f>IF(INPUT!E168="","",TEXT(INPUT!E168,"0000000000"))</f>
        <v/>
      </c>
      <c r="F168" s="4">
        <f>IF(E168="","",IF(COUNTIF(INDIRECT("PPI_"&amp;CONFIG!$B$4&amp;"!$A:$A"),VALUE(E168))&gt;0,"IN PPI","NOT IN PPI"))</f>
        <v/>
      </c>
      <c r="G168" s="4">
        <f>IF(F168="","","-")</f>
        <v/>
      </c>
      <c r="H168" s="4">
        <f>IF(INPUT!F168="","",INPUT!F168)</f>
        <v/>
      </c>
      <c r="I168" s="4">
        <f>IF(F168="","","N/A")</f>
        <v/>
      </c>
    </row>
    <row r="169" ht="15" customHeight="1">
      <c r="A169" s="14">
        <f>IF(INPUT!A169="","",INPUT!A169)</f>
        <v/>
      </c>
      <c r="B169" s="14">
        <f>IF(INPUT!B169="","",INPUT!B169)</f>
        <v/>
      </c>
      <c r="C169" s="14">
        <f>IF(INPUT!C169="","",INPUT!C169)</f>
        <v/>
      </c>
      <c r="D169" s="14">
        <f>IF(INPUT!D169="","",INPUT!D169)</f>
        <v/>
      </c>
      <c r="E169" s="15">
        <f>IF(INPUT!E169="","",TEXT(INPUT!E169,"0000000000"))</f>
        <v/>
      </c>
      <c r="F169" s="6">
        <f>IF(E169="","",IF(COUNTIF(INDIRECT("PPI_"&amp;CONFIG!$B$4&amp;"!$A:$A"),VALUE(E169))&gt;0,"IN PPI","NOT IN PPI"))</f>
        <v/>
      </c>
      <c r="G169" s="6">
        <f>IF(F169="","","-")</f>
        <v/>
      </c>
      <c r="H169" s="6">
        <f>IF(INPUT!F169="","",INPUT!F169)</f>
        <v/>
      </c>
      <c r="I169" s="6">
        <f>IF(F169="","","N/A")</f>
        <v/>
      </c>
    </row>
    <row r="170" ht="15" customHeight="1">
      <c r="A170" s="16">
        <f>IF(INPUT!A170="","",INPUT!A170)</f>
        <v/>
      </c>
      <c r="B170" s="16">
        <f>IF(INPUT!B170="","",INPUT!B170)</f>
        <v/>
      </c>
      <c r="C170" s="16">
        <f>IF(INPUT!C170="","",INPUT!C170)</f>
        <v/>
      </c>
      <c r="D170" s="16">
        <f>IF(INPUT!D170="","",INPUT!D170)</f>
        <v/>
      </c>
      <c r="E170" s="17">
        <f>IF(INPUT!E170="","",TEXT(INPUT!E170,"0000000000"))</f>
        <v/>
      </c>
      <c r="F170" s="4">
        <f>IF(E170="","",IF(COUNTIF(INDIRECT("PPI_"&amp;CONFIG!$B$4&amp;"!$A:$A"),VALUE(E170))&gt;0,"IN PPI","NOT IN PPI"))</f>
        <v/>
      </c>
      <c r="G170" s="4">
        <f>IF(F170="","","-")</f>
        <v/>
      </c>
      <c r="H170" s="4">
        <f>IF(INPUT!F170="","",INPUT!F170)</f>
        <v/>
      </c>
      <c r="I170" s="4">
        <f>IF(F170="","","N/A")</f>
        <v/>
      </c>
    </row>
    <row r="171" ht="15" customHeight="1">
      <c r="A171" s="14">
        <f>IF(INPUT!A171="","",INPUT!A171)</f>
        <v/>
      </c>
      <c r="B171" s="14">
        <f>IF(INPUT!B171="","",INPUT!B171)</f>
        <v/>
      </c>
      <c r="C171" s="14">
        <f>IF(INPUT!C171="","",INPUT!C171)</f>
        <v/>
      </c>
      <c r="D171" s="14">
        <f>IF(INPUT!D171="","",INPUT!D171)</f>
        <v/>
      </c>
      <c r="E171" s="15">
        <f>IF(INPUT!E171="","",TEXT(INPUT!E171,"0000000000"))</f>
        <v/>
      </c>
      <c r="F171" s="6">
        <f>IF(E171="","",IF(COUNTIF(INDIRECT("PPI_"&amp;CONFIG!$B$4&amp;"!$A:$A"),VALUE(E171))&gt;0,"IN PPI","NOT IN PPI"))</f>
        <v/>
      </c>
      <c r="G171" s="6">
        <f>IF(F171="","","-")</f>
        <v/>
      </c>
      <c r="H171" s="6">
        <f>IF(INPUT!F171="","",INPUT!F171)</f>
        <v/>
      </c>
      <c r="I171" s="6">
        <f>IF(F171="","","N/A")</f>
        <v/>
      </c>
    </row>
    <row r="172" ht="15" customHeight="1">
      <c r="A172" s="16">
        <f>IF(INPUT!A172="","",INPUT!A172)</f>
        <v/>
      </c>
      <c r="B172" s="16">
        <f>IF(INPUT!B172="","",INPUT!B172)</f>
        <v/>
      </c>
      <c r="C172" s="16">
        <f>IF(INPUT!C172="","",INPUT!C172)</f>
        <v/>
      </c>
      <c r="D172" s="16">
        <f>IF(INPUT!D172="","",INPUT!D172)</f>
        <v/>
      </c>
      <c r="E172" s="17">
        <f>IF(INPUT!E172="","",TEXT(INPUT!E172,"0000000000"))</f>
        <v/>
      </c>
      <c r="F172" s="4">
        <f>IF(E172="","",IF(COUNTIF(INDIRECT("PPI_"&amp;CONFIG!$B$4&amp;"!$A:$A"),VALUE(E172))&gt;0,"IN PPI","NOT IN PPI"))</f>
        <v/>
      </c>
      <c r="G172" s="4">
        <f>IF(F172="","","-")</f>
        <v/>
      </c>
      <c r="H172" s="4">
        <f>IF(INPUT!F172="","",INPUT!F172)</f>
        <v/>
      </c>
      <c r="I172" s="4">
        <f>IF(F172="","","N/A")</f>
        <v/>
      </c>
    </row>
    <row r="173" ht="15" customHeight="1">
      <c r="A173" s="14">
        <f>IF(INPUT!A173="","",INPUT!A173)</f>
        <v/>
      </c>
      <c r="B173" s="14">
        <f>IF(INPUT!B173="","",INPUT!B173)</f>
        <v/>
      </c>
      <c r="C173" s="14">
        <f>IF(INPUT!C173="","",INPUT!C173)</f>
        <v/>
      </c>
      <c r="D173" s="14">
        <f>IF(INPUT!D173="","",INPUT!D173)</f>
        <v/>
      </c>
      <c r="E173" s="15">
        <f>IF(INPUT!E173="","",TEXT(INPUT!E173,"0000000000"))</f>
        <v/>
      </c>
      <c r="F173" s="6">
        <f>IF(E173="","",IF(COUNTIF(INDIRECT("PPI_"&amp;CONFIG!$B$4&amp;"!$A:$A"),VALUE(E173))&gt;0,"IN PPI","NOT IN PPI"))</f>
        <v/>
      </c>
      <c r="G173" s="6">
        <f>IF(F173="","","-")</f>
        <v/>
      </c>
      <c r="H173" s="6">
        <f>IF(INPUT!F173="","",INPUT!F173)</f>
        <v/>
      </c>
      <c r="I173" s="6">
        <f>IF(F173="","","N/A")</f>
        <v/>
      </c>
    </row>
    <row r="174" ht="15" customHeight="1">
      <c r="A174" s="16">
        <f>IF(INPUT!A174="","",INPUT!A174)</f>
        <v/>
      </c>
      <c r="B174" s="16">
        <f>IF(INPUT!B174="","",INPUT!B174)</f>
        <v/>
      </c>
      <c r="C174" s="16">
        <f>IF(INPUT!C174="","",INPUT!C174)</f>
        <v/>
      </c>
      <c r="D174" s="16">
        <f>IF(INPUT!D174="","",INPUT!D174)</f>
        <v/>
      </c>
      <c r="E174" s="17">
        <f>IF(INPUT!E174="","",TEXT(INPUT!E174,"0000000000"))</f>
        <v/>
      </c>
      <c r="F174" s="4">
        <f>IF(E174="","",IF(COUNTIF(INDIRECT("PPI_"&amp;CONFIG!$B$4&amp;"!$A:$A"),VALUE(E174))&gt;0,"IN PPI","NOT IN PPI"))</f>
        <v/>
      </c>
      <c r="G174" s="4">
        <f>IF(F174="","","-")</f>
        <v/>
      </c>
      <c r="H174" s="4">
        <f>IF(INPUT!F174="","",INPUT!F174)</f>
        <v/>
      </c>
      <c r="I174" s="4">
        <f>IF(F174="","","N/A")</f>
        <v/>
      </c>
    </row>
    <row r="175" ht="15" customHeight="1">
      <c r="A175" s="14">
        <f>IF(INPUT!A175="","",INPUT!A175)</f>
        <v/>
      </c>
      <c r="B175" s="14">
        <f>IF(INPUT!B175="","",INPUT!B175)</f>
        <v/>
      </c>
      <c r="C175" s="14">
        <f>IF(INPUT!C175="","",INPUT!C175)</f>
        <v/>
      </c>
      <c r="D175" s="14">
        <f>IF(INPUT!D175="","",INPUT!D175)</f>
        <v/>
      </c>
      <c r="E175" s="15">
        <f>IF(INPUT!E175="","",TEXT(INPUT!E175,"0000000000"))</f>
        <v/>
      </c>
      <c r="F175" s="6">
        <f>IF(E175="","",IF(COUNTIF(INDIRECT("PPI_"&amp;CONFIG!$B$4&amp;"!$A:$A"),VALUE(E175))&gt;0,"IN PPI","NOT IN PPI"))</f>
        <v/>
      </c>
      <c r="G175" s="6">
        <f>IF(F175="","","-")</f>
        <v/>
      </c>
      <c r="H175" s="6">
        <f>IF(INPUT!F175="","",INPUT!F175)</f>
        <v/>
      </c>
      <c r="I175" s="6">
        <f>IF(F175="","","N/A")</f>
        <v/>
      </c>
    </row>
    <row r="176" ht="15" customHeight="1">
      <c r="A176" s="16">
        <f>IF(INPUT!A176="","",INPUT!A176)</f>
        <v/>
      </c>
      <c r="B176" s="16">
        <f>IF(INPUT!B176="","",INPUT!B176)</f>
        <v/>
      </c>
      <c r="C176" s="16">
        <f>IF(INPUT!C176="","",INPUT!C176)</f>
        <v/>
      </c>
      <c r="D176" s="16">
        <f>IF(INPUT!D176="","",INPUT!D176)</f>
        <v/>
      </c>
      <c r="E176" s="17">
        <f>IF(INPUT!E176="","",TEXT(INPUT!E176,"0000000000"))</f>
        <v/>
      </c>
      <c r="F176" s="4">
        <f>IF(E176="","",IF(COUNTIF(INDIRECT("PPI_"&amp;CONFIG!$B$4&amp;"!$A:$A"),VALUE(E176))&gt;0,"IN PPI","NOT IN PPI"))</f>
        <v/>
      </c>
      <c r="G176" s="4">
        <f>IF(F176="","","-")</f>
        <v/>
      </c>
      <c r="H176" s="4">
        <f>IF(INPUT!F176="","",INPUT!F176)</f>
        <v/>
      </c>
      <c r="I176" s="4">
        <f>IF(F176="","","N/A")</f>
        <v/>
      </c>
    </row>
    <row r="177" ht="15" customHeight="1">
      <c r="A177" s="14">
        <f>IF(INPUT!A177="","",INPUT!A177)</f>
        <v/>
      </c>
      <c r="B177" s="14">
        <f>IF(INPUT!B177="","",INPUT!B177)</f>
        <v/>
      </c>
      <c r="C177" s="14">
        <f>IF(INPUT!C177="","",INPUT!C177)</f>
        <v/>
      </c>
      <c r="D177" s="14">
        <f>IF(INPUT!D177="","",INPUT!D177)</f>
        <v/>
      </c>
      <c r="E177" s="15">
        <f>IF(INPUT!E177="","",TEXT(INPUT!E177,"0000000000"))</f>
        <v/>
      </c>
      <c r="F177" s="6">
        <f>IF(E177="","",IF(COUNTIF(INDIRECT("PPI_"&amp;CONFIG!$B$4&amp;"!$A:$A"),VALUE(E177))&gt;0,"IN PPI","NOT IN PPI"))</f>
        <v/>
      </c>
      <c r="G177" s="6">
        <f>IF(F177="","","-")</f>
        <v/>
      </c>
      <c r="H177" s="6">
        <f>IF(INPUT!F177="","",INPUT!F177)</f>
        <v/>
      </c>
      <c r="I177" s="6">
        <f>IF(F177="","","N/A")</f>
        <v/>
      </c>
    </row>
    <row r="178" ht="15" customHeight="1">
      <c r="A178" s="16">
        <f>IF(INPUT!A178="","",INPUT!A178)</f>
        <v/>
      </c>
      <c r="B178" s="16">
        <f>IF(INPUT!B178="","",INPUT!B178)</f>
        <v/>
      </c>
      <c r="C178" s="16">
        <f>IF(INPUT!C178="","",INPUT!C178)</f>
        <v/>
      </c>
      <c r="D178" s="16">
        <f>IF(INPUT!D178="","",INPUT!D178)</f>
        <v/>
      </c>
      <c r="E178" s="17">
        <f>IF(INPUT!E178="","",TEXT(INPUT!E178,"0000000000"))</f>
        <v/>
      </c>
      <c r="F178" s="4">
        <f>IF(E178="","",IF(COUNTIF(INDIRECT("PPI_"&amp;CONFIG!$B$4&amp;"!$A:$A"),VALUE(E178))&gt;0,"IN PPI","NOT IN PPI"))</f>
        <v/>
      </c>
      <c r="G178" s="4">
        <f>IF(F178="","","-")</f>
        <v/>
      </c>
      <c r="H178" s="4">
        <f>IF(INPUT!F178="","",INPUT!F178)</f>
        <v/>
      </c>
      <c r="I178" s="4">
        <f>IF(F178="","","N/A")</f>
        <v/>
      </c>
    </row>
    <row r="179" ht="15" customHeight="1">
      <c r="A179" s="14">
        <f>IF(INPUT!A179="","",INPUT!A179)</f>
        <v/>
      </c>
      <c r="B179" s="14">
        <f>IF(INPUT!B179="","",INPUT!B179)</f>
        <v/>
      </c>
      <c r="C179" s="14">
        <f>IF(INPUT!C179="","",INPUT!C179)</f>
        <v/>
      </c>
      <c r="D179" s="14">
        <f>IF(INPUT!D179="","",INPUT!D179)</f>
        <v/>
      </c>
      <c r="E179" s="15">
        <f>IF(INPUT!E179="","",TEXT(INPUT!E179,"0000000000"))</f>
        <v/>
      </c>
      <c r="F179" s="6">
        <f>IF(E179="","",IF(COUNTIF(INDIRECT("PPI_"&amp;CONFIG!$B$4&amp;"!$A:$A"),VALUE(E179))&gt;0,"IN PPI","NOT IN PPI"))</f>
        <v/>
      </c>
      <c r="G179" s="6">
        <f>IF(F179="","","-")</f>
        <v/>
      </c>
      <c r="H179" s="6">
        <f>IF(INPUT!F179="","",INPUT!F179)</f>
        <v/>
      </c>
      <c r="I179" s="6">
        <f>IF(F179="","","N/A")</f>
        <v/>
      </c>
    </row>
    <row r="180" ht="15" customHeight="1">
      <c r="A180" s="16">
        <f>IF(INPUT!A180="","",INPUT!A180)</f>
        <v/>
      </c>
      <c r="B180" s="16">
        <f>IF(INPUT!B180="","",INPUT!B180)</f>
        <v/>
      </c>
      <c r="C180" s="16">
        <f>IF(INPUT!C180="","",INPUT!C180)</f>
        <v/>
      </c>
      <c r="D180" s="16">
        <f>IF(INPUT!D180="","",INPUT!D180)</f>
        <v/>
      </c>
      <c r="E180" s="17">
        <f>IF(INPUT!E180="","",TEXT(INPUT!E180,"0000000000"))</f>
        <v/>
      </c>
      <c r="F180" s="4">
        <f>IF(E180="","",IF(COUNTIF(INDIRECT("PPI_"&amp;CONFIG!$B$4&amp;"!$A:$A"),VALUE(E180))&gt;0,"IN PPI","NOT IN PPI"))</f>
        <v/>
      </c>
      <c r="G180" s="4">
        <f>IF(F180="","","-")</f>
        <v/>
      </c>
      <c r="H180" s="4">
        <f>IF(INPUT!F180="","",INPUT!F180)</f>
        <v/>
      </c>
      <c r="I180" s="4">
        <f>IF(F180="","","N/A")</f>
        <v/>
      </c>
    </row>
    <row r="181" ht="15" customHeight="1">
      <c r="A181" s="14">
        <f>IF(INPUT!A181="","",INPUT!A181)</f>
        <v/>
      </c>
      <c r="B181" s="14">
        <f>IF(INPUT!B181="","",INPUT!B181)</f>
        <v/>
      </c>
      <c r="C181" s="14">
        <f>IF(INPUT!C181="","",INPUT!C181)</f>
        <v/>
      </c>
      <c r="D181" s="14">
        <f>IF(INPUT!D181="","",INPUT!D181)</f>
        <v/>
      </c>
      <c r="E181" s="15">
        <f>IF(INPUT!E181="","",TEXT(INPUT!E181,"0000000000"))</f>
        <v/>
      </c>
      <c r="F181" s="6">
        <f>IF(E181="","",IF(COUNTIF(INDIRECT("PPI_"&amp;CONFIG!$B$4&amp;"!$A:$A"),VALUE(E181))&gt;0,"IN PPI","NOT IN PPI"))</f>
        <v/>
      </c>
      <c r="G181" s="6">
        <f>IF(F181="","","-")</f>
        <v/>
      </c>
      <c r="H181" s="6">
        <f>IF(INPUT!F181="","",INPUT!F181)</f>
        <v/>
      </c>
      <c r="I181" s="6">
        <f>IF(F181="","","N/A")</f>
        <v/>
      </c>
    </row>
    <row r="182" ht="15" customHeight="1">
      <c r="A182" s="16">
        <f>IF(INPUT!A182="","",INPUT!A182)</f>
        <v/>
      </c>
      <c r="B182" s="16">
        <f>IF(INPUT!B182="","",INPUT!B182)</f>
        <v/>
      </c>
      <c r="C182" s="16">
        <f>IF(INPUT!C182="","",INPUT!C182)</f>
        <v/>
      </c>
      <c r="D182" s="16">
        <f>IF(INPUT!D182="","",INPUT!D182)</f>
        <v/>
      </c>
      <c r="E182" s="17">
        <f>IF(INPUT!E182="","",TEXT(INPUT!E182,"0000000000"))</f>
        <v/>
      </c>
      <c r="F182" s="4">
        <f>IF(E182="","",IF(COUNTIF(INDIRECT("PPI_"&amp;CONFIG!$B$4&amp;"!$A:$A"),VALUE(E182))&gt;0,"IN PPI","NOT IN PPI"))</f>
        <v/>
      </c>
      <c r="G182" s="4">
        <f>IF(F182="","","-")</f>
        <v/>
      </c>
      <c r="H182" s="4">
        <f>IF(INPUT!F182="","",INPUT!F182)</f>
        <v/>
      </c>
      <c r="I182" s="4">
        <f>IF(F182="","","N/A")</f>
        <v/>
      </c>
    </row>
    <row r="183" ht="15" customHeight="1">
      <c r="A183" s="14">
        <f>IF(INPUT!A183="","",INPUT!A183)</f>
        <v/>
      </c>
      <c r="B183" s="14">
        <f>IF(INPUT!B183="","",INPUT!B183)</f>
        <v/>
      </c>
      <c r="C183" s="14">
        <f>IF(INPUT!C183="","",INPUT!C183)</f>
        <v/>
      </c>
      <c r="D183" s="14">
        <f>IF(INPUT!D183="","",INPUT!D183)</f>
        <v/>
      </c>
      <c r="E183" s="15">
        <f>IF(INPUT!E183="","",TEXT(INPUT!E183,"0000000000"))</f>
        <v/>
      </c>
      <c r="F183" s="6">
        <f>IF(E183="","",IF(COUNTIF(INDIRECT("PPI_"&amp;CONFIG!$B$4&amp;"!$A:$A"),VALUE(E183))&gt;0,"IN PPI","NOT IN PPI"))</f>
        <v/>
      </c>
      <c r="G183" s="6">
        <f>IF(F183="","","-")</f>
        <v/>
      </c>
      <c r="H183" s="6">
        <f>IF(INPUT!F183="","",INPUT!F183)</f>
        <v/>
      </c>
      <c r="I183" s="6">
        <f>IF(F183="","","N/A")</f>
        <v/>
      </c>
    </row>
    <row r="184" ht="15" customHeight="1">
      <c r="A184" s="16">
        <f>IF(INPUT!A184="","",INPUT!A184)</f>
        <v/>
      </c>
      <c r="B184" s="16">
        <f>IF(INPUT!B184="","",INPUT!B184)</f>
        <v/>
      </c>
      <c r="C184" s="16">
        <f>IF(INPUT!C184="","",INPUT!C184)</f>
        <v/>
      </c>
      <c r="D184" s="16">
        <f>IF(INPUT!D184="","",INPUT!D184)</f>
        <v/>
      </c>
      <c r="E184" s="17">
        <f>IF(INPUT!E184="","",TEXT(INPUT!E184,"0000000000"))</f>
        <v/>
      </c>
      <c r="F184" s="4">
        <f>IF(E184="","",IF(COUNTIF(INDIRECT("PPI_"&amp;CONFIG!$B$4&amp;"!$A:$A"),VALUE(E184))&gt;0,"IN PPI","NOT IN PPI"))</f>
        <v/>
      </c>
      <c r="G184" s="4">
        <f>IF(F184="","","-")</f>
        <v/>
      </c>
      <c r="H184" s="4">
        <f>IF(INPUT!F184="","",INPUT!F184)</f>
        <v/>
      </c>
      <c r="I184" s="4">
        <f>IF(F184="","","N/A")</f>
        <v/>
      </c>
    </row>
    <row r="185" ht="15" customHeight="1">
      <c r="A185" s="14">
        <f>IF(INPUT!A185="","",INPUT!A185)</f>
        <v/>
      </c>
      <c r="B185" s="14">
        <f>IF(INPUT!B185="","",INPUT!B185)</f>
        <v/>
      </c>
      <c r="C185" s="14">
        <f>IF(INPUT!C185="","",INPUT!C185)</f>
        <v/>
      </c>
      <c r="D185" s="14">
        <f>IF(INPUT!D185="","",INPUT!D185)</f>
        <v/>
      </c>
      <c r="E185" s="15">
        <f>IF(INPUT!E185="","",TEXT(INPUT!E185,"0000000000"))</f>
        <v/>
      </c>
      <c r="F185" s="6">
        <f>IF(E185="","",IF(COUNTIF(INDIRECT("PPI_"&amp;CONFIG!$B$4&amp;"!$A:$A"),VALUE(E185))&gt;0,"IN PPI","NOT IN PPI"))</f>
        <v/>
      </c>
      <c r="G185" s="6">
        <f>IF(F185="","","-")</f>
        <v/>
      </c>
      <c r="H185" s="6">
        <f>IF(INPUT!F185="","",INPUT!F185)</f>
        <v/>
      </c>
      <c r="I185" s="6">
        <f>IF(F185="","","N/A")</f>
        <v/>
      </c>
    </row>
    <row r="186" ht="15" customHeight="1">
      <c r="A186" s="16">
        <f>IF(INPUT!A186="","",INPUT!A186)</f>
        <v/>
      </c>
      <c r="B186" s="16">
        <f>IF(INPUT!B186="","",INPUT!B186)</f>
        <v/>
      </c>
      <c r="C186" s="16">
        <f>IF(INPUT!C186="","",INPUT!C186)</f>
        <v/>
      </c>
      <c r="D186" s="16">
        <f>IF(INPUT!D186="","",INPUT!D186)</f>
        <v/>
      </c>
      <c r="E186" s="17">
        <f>IF(INPUT!E186="","",TEXT(INPUT!E186,"0000000000"))</f>
        <v/>
      </c>
      <c r="F186" s="4">
        <f>IF(E186="","",IF(COUNTIF(INDIRECT("PPI_"&amp;CONFIG!$B$4&amp;"!$A:$A"),VALUE(E186))&gt;0,"IN PPI","NOT IN PPI"))</f>
        <v/>
      </c>
      <c r="G186" s="4">
        <f>IF(F186="","","-")</f>
        <v/>
      </c>
      <c r="H186" s="4">
        <f>IF(INPUT!F186="","",INPUT!F186)</f>
        <v/>
      </c>
      <c r="I186" s="4">
        <f>IF(F186="","","N/A")</f>
        <v/>
      </c>
    </row>
    <row r="187" ht="15" customHeight="1">
      <c r="A187" s="14">
        <f>IF(INPUT!A187="","",INPUT!A187)</f>
        <v/>
      </c>
      <c r="B187" s="14">
        <f>IF(INPUT!B187="","",INPUT!B187)</f>
        <v/>
      </c>
      <c r="C187" s="14">
        <f>IF(INPUT!C187="","",INPUT!C187)</f>
        <v/>
      </c>
      <c r="D187" s="14">
        <f>IF(INPUT!D187="","",INPUT!D187)</f>
        <v/>
      </c>
      <c r="E187" s="15">
        <f>IF(INPUT!E187="","",TEXT(INPUT!E187,"0000000000"))</f>
        <v/>
      </c>
      <c r="F187" s="6">
        <f>IF(E187="","",IF(COUNTIF(INDIRECT("PPI_"&amp;CONFIG!$B$4&amp;"!$A:$A"),VALUE(E187))&gt;0,"IN PPI","NOT IN PPI"))</f>
        <v/>
      </c>
      <c r="G187" s="6">
        <f>IF(F187="","","-")</f>
        <v/>
      </c>
      <c r="H187" s="6">
        <f>IF(INPUT!F187="","",INPUT!F187)</f>
        <v/>
      </c>
      <c r="I187" s="6">
        <f>IF(F187="","","N/A")</f>
        <v/>
      </c>
    </row>
    <row r="188" ht="15" customHeight="1">
      <c r="A188" s="16">
        <f>IF(INPUT!A188="","",INPUT!A188)</f>
        <v/>
      </c>
      <c r="B188" s="16">
        <f>IF(INPUT!B188="","",INPUT!B188)</f>
        <v/>
      </c>
      <c r="C188" s="16">
        <f>IF(INPUT!C188="","",INPUT!C188)</f>
        <v/>
      </c>
      <c r="D188" s="16">
        <f>IF(INPUT!D188="","",INPUT!D188)</f>
        <v/>
      </c>
      <c r="E188" s="17">
        <f>IF(INPUT!E188="","",TEXT(INPUT!E188,"0000000000"))</f>
        <v/>
      </c>
      <c r="F188" s="4">
        <f>IF(E188="","",IF(COUNTIF(INDIRECT("PPI_"&amp;CONFIG!$B$4&amp;"!$A:$A"),VALUE(E188))&gt;0,"IN PPI","NOT IN PPI"))</f>
        <v/>
      </c>
      <c r="G188" s="4">
        <f>IF(F188="","","-")</f>
        <v/>
      </c>
      <c r="H188" s="4">
        <f>IF(INPUT!F188="","",INPUT!F188)</f>
        <v/>
      </c>
      <c r="I188" s="4">
        <f>IF(F188="","","N/A")</f>
        <v/>
      </c>
    </row>
    <row r="189" ht="15" customHeight="1">
      <c r="A189" s="14">
        <f>IF(INPUT!A189="","",INPUT!A189)</f>
        <v/>
      </c>
      <c r="B189" s="14">
        <f>IF(INPUT!B189="","",INPUT!B189)</f>
        <v/>
      </c>
      <c r="C189" s="14">
        <f>IF(INPUT!C189="","",INPUT!C189)</f>
        <v/>
      </c>
      <c r="D189" s="14">
        <f>IF(INPUT!D189="","",INPUT!D189)</f>
        <v/>
      </c>
      <c r="E189" s="15">
        <f>IF(INPUT!E189="","",TEXT(INPUT!E189,"0000000000"))</f>
        <v/>
      </c>
      <c r="F189" s="6">
        <f>IF(E189="","",IF(COUNTIF(INDIRECT("PPI_"&amp;CONFIG!$B$4&amp;"!$A:$A"),VALUE(E189))&gt;0,"IN PPI","NOT IN PPI"))</f>
        <v/>
      </c>
      <c r="G189" s="6">
        <f>IF(F189="","","-")</f>
        <v/>
      </c>
      <c r="H189" s="6">
        <f>IF(INPUT!F189="","",INPUT!F189)</f>
        <v/>
      </c>
      <c r="I189" s="6">
        <f>IF(F189="","","N/A")</f>
        <v/>
      </c>
    </row>
    <row r="190" ht="15" customHeight="1">
      <c r="A190" s="16">
        <f>IF(INPUT!A190="","",INPUT!A190)</f>
        <v/>
      </c>
      <c r="B190" s="16">
        <f>IF(INPUT!B190="","",INPUT!B190)</f>
        <v/>
      </c>
      <c r="C190" s="16">
        <f>IF(INPUT!C190="","",INPUT!C190)</f>
        <v/>
      </c>
      <c r="D190" s="16">
        <f>IF(INPUT!D190="","",INPUT!D190)</f>
        <v/>
      </c>
      <c r="E190" s="17">
        <f>IF(INPUT!E190="","",TEXT(INPUT!E190,"0000000000"))</f>
        <v/>
      </c>
      <c r="F190" s="4">
        <f>IF(E190="","",IF(COUNTIF(INDIRECT("PPI_"&amp;CONFIG!$B$4&amp;"!$A:$A"),VALUE(E190))&gt;0,"IN PPI","NOT IN PPI"))</f>
        <v/>
      </c>
      <c r="G190" s="4">
        <f>IF(F190="","","-")</f>
        <v/>
      </c>
      <c r="H190" s="4">
        <f>IF(INPUT!F190="","",INPUT!F190)</f>
        <v/>
      </c>
      <c r="I190" s="4">
        <f>IF(F190="","","N/A")</f>
        <v/>
      </c>
    </row>
    <row r="191" ht="15" customHeight="1">
      <c r="A191" s="14">
        <f>IF(INPUT!A191="","",INPUT!A191)</f>
        <v/>
      </c>
      <c r="B191" s="14">
        <f>IF(INPUT!B191="","",INPUT!B191)</f>
        <v/>
      </c>
      <c r="C191" s="14">
        <f>IF(INPUT!C191="","",INPUT!C191)</f>
        <v/>
      </c>
      <c r="D191" s="14">
        <f>IF(INPUT!D191="","",INPUT!D191)</f>
        <v/>
      </c>
      <c r="E191" s="15">
        <f>IF(INPUT!E191="","",TEXT(INPUT!E191,"0000000000"))</f>
        <v/>
      </c>
      <c r="F191" s="6">
        <f>IF(E191="","",IF(COUNTIF(INDIRECT("PPI_"&amp;CONFIG!$B$4&amp;"!$A:$A"),VALUE(E191))&gt;0,"IN PPI","NOT IN PPI"))</f>
        <v/>
      </c>
      <c r="G191" s="6">
        <f>IF(F191="","","-")</f>
        <v/>
      </c>
      <c r="H191" s="6">
        <f>IF(INPUT!F191="","",INPUT!F191)</f>
        <v/>
      </c>
      <c r="I191" s="6">
        <f>IF(F191="","","N/A")</f>
        <v/>
      </c>
    </row>
    <row r="192" ht="15" customHeight="1">
      <c r="A192" s="16">
        <f>IF(INPUT!A192="","",INPUT!A192)</f>
        <v/>
      </c>
      <c r="B192" s="16">
        <f>IF(INPUT!B192="","",INPUT!B192)</f>
        <v/>
      </c>
      <c r="C192" s="16">
        <f>IF(INPUT!C192="","",INPUT!C192)</f>
        <v/>
      </c>
      <c r="D192" s="16">
        <f>IF(INPUT!D192="","",INPUT!D192)</f>
        <v/>
      </c>
      <c r="E192" s="17">
        <f>IF(INPUT!E192="","",TEXT(INPUT!E192,"0000000000"))</f>
        <v/>
      </c>
      <c r="F192" s="4">
        <f>IF(E192="","",IF(COUNTIF(INDIRECT("PPI_"&amp;CONFIG!$B$4&amp;"!$A:$A"),VALUE(E192))&gt;0,"IN PPI","NOT IN PPI"))</f>
        <v/>
      </c>
      <c r="G192" s="4">
        <f>IF(F192="","","-")</f>
        <v/>
      </c>
      <c r="H192" s="4">
        <f>IF(INPUT!F192="","",INPUT!F192)</f>
        <v/>
      </c>
      <c r="I192" s="4">
        <f>IF(F192="","","N/A")</f>
        <v/>
      </c>
    </row>
    <row r="193" ht="15" customHeight="1">
      <c r="A193" s="14">
        <f>IF(INPUT!A193="","",INPUT!A193)</f>
        <v/>
      </c>
      <c r="B193" s="14">
        <f>IF(INPUT!B193="","",INPUT!B193)</f>
        <v/>
      </c>
      <c r="C193" s="14">
        <f>IF(INPUT!C193="","",INPUT!C193)</f>
        <v/>
      </c>
      <c r="D193" s="14">
        <f>IF(INPUT!D193="","",INPUT!D193)</f>
        <v/>
      </c>
      <c r="E193" s="15">
        <f>IF(INPUT!E193="","",TEXT(INPUT!E193,"0000000000"))</f>
        <v/>
      </c>
      <c r="F193" s="6">
        <f>IF(E193="","",IF(COUNTIF(INDIRECT("PPI_"&amp;CONFIG!$B$4&amp;"!$A:$A"),VALUE(E193))&gt;0,"IN PPI","NOT IN PPI"))</f>
        <v/>
      </c>
      <c r="G193" s="6">
        <f>IF(F193="","","-")</f>
        <v/>
      </c>
      <c r="H193" s="6">
        <f>IF(INPUT!F193="","",INPUT!F193)</f>
        <v/>
      </c>
      <c r="I193" s="6">
        <f>IF(F193="","","N/A")</f>
        <v/>
      </c>
    </row>
    <row r="194" ht="15" customHeight="1">
      <c r="A194" s="16">
        <f>IF(INPUT!A194="","",INPUT!A194)</f>
        <v/>
      </c>
      <c r="B194" s="16">
        <f>IF(INPUT!B194="","",INPUT!B194)</f>
        <v/>
      </c>
      <c r="C194" s="16">
        <f>IF(INPUT!C194="","",INPUT!C194)</f>
        <v/>
      </c>
      <c r="D194" s="16">
        <f>IF(INPUT!D194="","",INPUT!D194)</f>
        <v/>
      </c>
      <c r="E194" s="17">
        <f>IF(INPUT!E194="","",TEXT(INPUT!E194,"0000000000"))</f>
        <v/>
      </c>
      <c r="F194" s="4">
        <f>IF(E194="","",IF(COUNTIF(INDIRECT("PPI_"&amp;CONFIG!$B$4&amp;"!$A:$A"),VALUE(E194))&gt;0,"IN PPI","NOT IN PPI"))</f>
        <v/>
      </c>
      <c r="G194" s="4">
        <f>IF(F194="","","-")</f>
        <v/>
      </c>
      <c r="H194" s="4">
        <f>IF(INPUT!F194="","",INPUT!F194)</f>
        <v/>
      </c>
      <c r="I194" s="4">
        <f>IF(F194="","","N/A")</f>
        <v/>
      </c>
    </row>
    <row r="195" ht="15" customHeight="1">
      <c r="A195" s="14">
        <f>IF(INPUT!A195="","",INPUT!A195)</f>
        <v/>
      </c>
      <c r="B195" s="14">
        <f>IF(INPUT!B195="","",INPUT!B195)</f>
        <v/>
      </c>
      <c r="C195" s="14">
        <f>IF(INPUT!C195="","",INPUT!C195)</f>
        <v/>
      </c>
      <c r="D195" s="14">
        <f>IF(INPUT!D195="","",INPUT!D195)</f>
        <v/>
      </c>
      <c r="E195" s="15">
        <f>IF(INPUT!E195="","",TEXT(INPUT!E195,"0000000000"))</f>
        <v/>
      </c>
      <c r="F195" s="6">
        <f>IF(E195="","",IF(COUNTIF(INDIRECT("PPI_"&amp;CONFIG!$B$4&amp;"!$A:$A"),VALUE(E195))&gt;0,"IN PPI","NOT IN PPI"))</f>
        <v/>
      </c>
      <c r="G195" s="6">
        <f>IF(F195="","","-")</f>
        <v/>
      </c>
      <c r="H195" s="6">
        <f>IF(INPUT!F195="","",INPUT!F195)</f>
        <v/>
      </c>
      <c r="I195" s="6">
        <f>IF(F195="","","N/A")</f>
        <v/>
      </c>
    </row>
    <row r="196" ht="15" customHeight="1">
      <c r="A196" s="16">
        <f>IF(INPUT!A196="","",INPUT!A196)</f>
        <v/>
      </c>
      <c r="B196" s="16">
        <f>IF(INPUT!B196="","",INPUT!B196)</f>
        <v/>
      </c>
      <c r="C196" s="16">
        <f>IF(INPUT!C196="","",INPUT!C196)</f>
        <v/>
      </c>
      <c r="D196" s="16">
        <f>IF(INPUT!D196="","",INPUT!D196)</f>
        <v/>
      </c>
      <c r="E196" s="17">
        <f>IF(INPUT!E196="","",TEXT(INPUT!E196,"0000000000"))</f>
        <v/>
      </c>
      <c r="F196" s="4">
        <f>IF(E196="","",IF(COUNTIF(INDIRECT("PPI_"&amp;CONFIG!$B$4&amp;"!$A:$A"),VALUE(E196))&gt;0,"IN PPI","NOT IN PPI"))</f>
        <v/>
      </c>
      <c r="G196" s="4">
        <f>IF(F196="","","-")</f>
        <v/>
      </c>
      <c r="H196" s="4">
        <f>IF(INPUT!F196="","",INPUT!F196)</f>
        <v/>
      </c>
      <c r="I196" s="4">
        <f>IF(F196="","","N/A")</f>
        <v/>
      </c>
    </row>
    <row r="197" ht="15" customHeight="1">
      <c r="A197" s="14">
        <f>IF(INPUT!A197="","",INPUT!A197)</f>
        <v/>
      </c>
      <c r="B197" s="14">
        <f>IF(INPUT!B197="","",INPUT!B197)</f>
        <v/>
      </c>
      <c r="C197" s="14">
        <f>IF(INPUT!C197="","",INPUT!C197)</f>
        <v/>
      </c>
      <c r="D197" s="14">
        <f>IF(INPUT!D197="","",INPUT!D197)</f>
        <v/>
      </c>
      <c r="E197" s="15">
        <f>IF(INPUT!E197="","",TEXT(INPUT!E197,"0000000000"))</f>
        <v/>
      </c>
      <c r="F197" s="6">
        <f>IF(E197="","",IF(COUNTIF(INDIRECT("PPI_"&amp;CONFIG!$B$4&amp;"!$A:$A"),VALUE(E197))&gt;0,"IN PPI","NOT IN PPI"))</f>
        <v/>
      </c>
      <c r="G197" s="6">
        <f>IF(F197="","","-")</f>
        <v/>
      </c>
      <c r="H197" s="6">
        <f>IF(INPUT!F197="","",INPUT!F197)</f>
        <v/>
      </c>
      <c r="I197" s="6">
        <f>IF(F197="","","N/A")</f>
        <v/>
      </c>
    </row>
    <row r="198" ht="15" customHeight="1">
      <c r="A198" s="16">
        <f>IF(INPUT!A198="","",INPUT!A198)</f>
        <v/>
      </c>
      <c r="B198" s="16">
        <f>IF(INPUT!B198="","",INPUT!B198)</f>
        <v/>
      </c>
      <c r="C198" s="16">
        <f>IF(INPUT!C198="","",INPUT!C198)</f>
        <v/>
      </c>
      <c r="D198" s="16">
        <f>IF(INPUT!D198="","",INPUT!D198)</f>
        <v/>
      </c>
      <c r="E198" s="17">
        <f>IF(INPUT!E198="","",TEXT(INPUT!E198,"0000000000"))</f>
        <v/>
      </c>
      <c r="F198" s="4">
        <f>IF(E198="","",IF(COUNTIF(INDIRECT("PPI_"&amp;CONFIG!$B$4&amp;"!$A:$A"),VALUE(E198))&gt;0,"IN PPI","NOT IN PPI"))</f>
        <v/>
      </c>
      <c r="G198" s="4">
        <f>IF(F198="","","-")</f>
        <v/>
      </c>
      <c r="H198" s="4">
        <f>IF(INPUT!F198="","",INPUT!F198)</f>
        <v/>
      </c>
      <c r="I198" s="4">
        <f>IF(F198="","","N/A")</f>
        <v/>
      </c>
    </row>
    <row r="199" ht="15" customHeight="1">
      <c r="A199" s="14">
        <f>IF(INPUT!A199="","",INPUT!A199)</f>
        <v/>
      </c>
      <c r="B199" s="14">
        <f>IF(INPUT!B199="","",INPUT!B199)</f>
        <v/>
      </c>
      <c r="C199" s="14">
        <f>IF(INPUT!C199="","",INPUT!C199)</f>
        <v/>
      </c>
      <c r="D199" s="14">
        <f>IF(INPUT!D199="","",INPUT!D199)</f>
        <v/>
      </c>
      <c r="E199" s="15">
        <f>IF(INPUT!E199="","",TEXT(INPUT!E199,"0000000000"))</f>
        <v/>
      </c>
      <c r="F199" s="6">
        <f>IF(E199="","",IF(COUNTIF(INDIRECT("PPI_"&amp;CONFIG!$B$4&amp;"!$A:$A"),VALUE(E199))&gt;0,"IN PPI","NOT IN PPI"))</f>
        <v/>
      </c>
      <c r="G199" s="6">
        <f>IF(F199="","","-")</f>
        <v/>
      </c>
      <c r="H199" s="6">
        <f>IF(INPUT!F199="","",INPUT!F199)</f>
        <v/>
      </c>
      <c r="I199" s="6">
        <f>IF(F199="","","N/A")</f>
        <v/>
      </c>
    </row>
    <row r="200" ht="15" customHeight="1">
      <c r="A200" s="16">
        <f>IF(INPUT!A200="","",INPUT!A200)</f>
        <v/>
      </c>
      <c r="B200" s="16">
        <f>IF(INPUT!B200="","",INPUT!B200)</f>
        <v/>
      </c>
      <c r="C200" s="16">
        <f>IF(INPUT!C200="","",INPUT!C200)</f>
        <v/>
      </c>
      <c r="D200" s="16">
        <f>IF(INPUT!D200="","",INPUT!D200)</f>
        <v/>
      </c>
      <c r="E200" s="17">
        <f>IF(INPUT!E200="","",TEXT(INPUT!E200,"0000000000"))</f>
        <v/>
      </c>
      <c r="F200" s="4">
        <f>IF(E200="","",IF(COUNTIF(INDIRECT("PPI_"&amp;CONFIG!$B$4&amp;"!$A:$A"),VALUE(E200))&gt;0,"IN PPI","NOT IN PPI"))</f>
        <v/>
      </c>
      <c r="G200" s="4">
        <f>IF(F200="","","-")</f>
        <v/>
      </c>
      <c r="H200" s="4">
        <f>IF(INPUT!F200="","",INPUT!F200)</f>
        <v/>
      </c>
      <c r="I200" s="4">
        <f>IF(F200="","","N/A")</f>
        <v/>
      </c>
    </row>
    <row r="201" ht="15" customHeight="1">
      <c r="A201" s="14">
        <f>IF(INPUT!A201="","",INPUT!A201)</f>
        <v/>
      </c>
      <c r="B201" s="14">
        <f>IF(INPUT!B201="","",INPUT!B201)</f>
        <v/>
      </c>
      <c r="C201" s="14">
        <f>IF(INPUT!C201="","",INPUT!C201)</f>
        <v/>
      </c>
      <c r="D201" s="14">
        <f>IF(INPUT!D201="","",INPUT!D201)</f>
        <v/>
      </c>
      <c r="E201" s="15">
        <f>IF(INPUT!E201="","",TEXT(INPUT!E201,"0000000000"))</f>
        <v/>
      </c>
      <c r="F201" s="6">
        <f>IF(E201="","",IF(COUNTIF(INDIRECT("PPI_"&amp;CONFIG!$B$4&amp;"!$A:$A"),VALUE(E201))&gt;0,"IN PPI","NOT IN PPI"))</f>
        <v/>
      </c>
      <c r="G201" s="6">
        <f>IF(F201="","","-")</f>
        <v/>
      </c>
      <c r="H201" s="6">
        <f>IF(INPUT!F201="","",INPUT!F201)</f>
        <v/>
      </c>
      <c r="I201" s="6">
        <f>IF(F201="","","N/A")</f>
        <v/>
      </c>
    </row>
    <row r="202" ht="15" customHeight="1">
      <c r="A202" s="16">
        <f>IF(INPUT!A202="","",INPUT!A202)</f>
        <v/>
      </c>
      <c r="B202" s="16">
        <f>IF(INPUT!B202="","",INPUT!B202)</f>
        <v/>
      </c>
      <c r="C202" s="16">
        <f>IF(INPUT!C202="","",INPUT!C202)</f>
        <v/>
      </c>
      <c r="D202" s="16">
        <f>IF(INPUT!D202="","",INPUT!D202)</f>
        <v/>
      </c>
      <c r="E202" s="17">
        <f>IF(INPUT!E202="","",TEXT(INPUT!E202,"0000000000"))</f>
        <v/>
      </c>
      <c r="F202" s="4">
        <f>IF(E202="","",IF(COUNTIF(INDIRECT("PPI_"&amp;CONFIG!$B$4&amp;"!$A:$A"),VALUE(E202))&gt;0,"IN PPI","NOT IN PPI"))</f>
        <v/>
      </c>
      <c r="G202" s="4">
        <f>IF(F202="","","-")</f>
        <v/>
      </c>
      <c r="H202" s="4">
        <f>IF(INPUT!F202="","",INPUT!F202)</f>
        <v/>
      </c>
      <c r="I202" s="4">
        <f>IF(F202="","","N/A")</f>
        <v/>
      </c>
    </row>
    <row r="203" ht="15" customHeight="1">
      <c r="A203" s="14">
        <f>IF(INPUT!A203="","",INPUT!A203)</f>
        <v/>
      </c>
      <c r="B203" s="14">
        <f>IF(INPUT!B203="","",INPUT!B203)</f>
        <v/>
      </c>
      <c r="C203" s="14">
        <f>IF(INPUT!C203="","",INPUT!C203)</f>
        <v/>
      </c>
      <c r="D203" s="14">
        <f>IF(INPUT!D203="","",INPUT!D203)</f>
        <v/>
      </c>
      <c r="E203" s="15">
        <f>IF(INPUT!E203="","",TEXT(INPUT!E203,"0000000000"))</f>
        <v/>
      </c>
      <c r="F203" s="6">
        <f>IF(E203="","",IF(COUNTIF(INDIRECT("PPI_"&amp;CONFIG!$B$4&amp;"!$A:$A"),VALUE(E203))&gt;0,"IN PPI","NOT IN PPI"))</f>
        <v/>
      </c>
      <c r="G203" s="6">
        <f>IF(F203="","","-")</f>
        <v/>
      </c>
      <c r="H203" s="6">
        <f>IF(INPUT!F203="","",INPUT!F203)</f>
        <v/>
      </c>
      <c r="I203" s="6">
        <f>IF(F203="","","N/A")</f>
        <v/>
      </c>
    </row>
    <row r="204" ht="15" customHeight="1">
      <c r="A204" s="16">
        <f>IF(INPUT!A204="","",INPUT!A204)</f>
        <v/>
      </c>
      <c r="B204" s="16">
        <f>IF(INPUT!B204="","",INPUT!B204)</f>
        <v/>
      </c>
      <c r="C204" s="16">
        <f>IF(INPUT!C204="","",INPUT!C204)</f>
        <v/>
      </c>
      <c r="D204" s="16">
        <f>IF(INPUT!D204="","",INPUT!D204)</f>
        <v/>
      </c>
      <c r="E204" s="17">
        <f>IF(INPUT!E204="","",TEXT(INPUT!E204,"0000000000"))</f>
        <v/>
      </c>
      <c r="F204" s="4">
        <f>IF(E204="","",IF(COUNTIF(INDIRECT("PPI_"&amp;CONFIG!$B$4&amp;"!$A:$A"),VALUE(E204))&gt;0,"IN PPI","NOT IN PPI"))</f>
        <v/>
      </c>
      <c r="G204" s="4">
        <f>IF(F204="","","-")</f>
        <v/>
      </c>
      <c r="H204" s="4">
        <f>IF(INPUT!F204="","",INPUT!F204)</f>
        <v/>
      </c>
      <c r="I204" s="4">
        <f>IF(F204="","","N/A")</f>
        <v/>
      </c>
    </row>
    <row r="205" ht="15" customHeight="1">
      <c r="A205" s="14">
        <f>IF(INPUT!A205="","",INPUT!A205)</f>
        <v/>
      </c>
      <c r="B205" s="14">
        <f>IF(INPUT!B205="","",INPUT!B205)</f>
        <v/>
      </c>
      <c r="C205" s="14">
        <f>IF(INPUT!C205="","",INPUT!C205)</f>
        <v/>
      </c>
      <c r="D205" s="14">
        <f>IF(INPUT!D205="","",INPUT!D205)</f>
        <v/>
      </c>
      <c r="E205" s="15">
        <f>IF(INPUT!E205="","",TEXT(INPUT!E205,"0000000000"))</f>
        <v/>
      </c>
      <c r="F205" s="6">
        <f>IF(E205="","",IF(COUNTIF(INDIRECT("PPI_"&amp;CONFIG!$B$4&amp;"!$A:$A"),VALUE(E205))&gt;0,"IN PPI","NOT IN PPI"))</f>
        <v/>
      </c>
      <c r="G205" s="6">
        <f>IF(F205="","","-")</f>
        <v/>
      </c>
      <c r="H205" s="6">
        <f>IF(INPUT!F205="","",INPUT!F205)</f>
        <v/>
      </c>
      <c r="I205" s="6">
        <f>IF(F205="","","N/A")</f>
        <v/>
      </c>
    </row>
    <row r="206" ht="15" customHeight="1">
      <c r="A206" s="16">
        <f>IF(INPUT!A206="","",INPUT!A206)</f>
        <v/>
      </c>
      <c r="B206" s="16">
        <f>IF(INPUT!B206="","",INPUT!B206)</f>
        <v/>
      </c>
      <c r="C206" s="16">
        <f>IF(INPUT!C206="","",INPUT!C206)</f>
        <v/>
      </c>
      <c r="D206" s="16">
        <f>IF(INPUT!D206="","",INPUT!D206)</f>
        <v/>
      </c>
      <c r="E206" s="17">
        <f>IF(INPUT!E206="","",TEXT(INPUT!E206,"0000000000"))</f>
        <v/>
      </c>
      <c r="F206" s="4">
        <f>IF(E206="","",IF(COUNTIF(INDIRECT("PPI_"&amp;CONFIG!$B$4&amp;"!$A:$A"),VALUE(E206))&gt;0,"IN PPI","NOT IN PPI"))</f>
        <v/>
      </c>
      <c r="G206" s="4">
        <f>IF(F206="","","-")</f>
        <v/>
      </c>
      <c r="H206" s="4">
        <f>IF(INPUT!F206="","",INPUT!F206)</f>
        <v/>
      </c>
      <c r="I206" s="4">
        <f>IF(F206="","","N/A")</f>
        <v/>
      </c>
    </row>
    <row r="207" ht="15" customHeight="1">
      <c r="A207" s="14">
        <f>IF(INPUT!A207="","",INPUT!A207)</f>
        <v/>
      </c>
      <c r="B207" s="14">
        <f>IF(INPUT!B207="","",INPUT!B207)</f>
        <v/>
      </c>
      <c r="C207" s="14">
        <f>IF(INPUT!C207="","",INPUT!C207)</f>
        <v/>
      </c>
      <c r="D207" s="14">
        <f>IF(INPUT!D207="","",INPUT!D207)</f>
        <v/>
      </c>
      <c r="E207" s="15">
        <f>IF(INPUT!E207="","",TEXT(INPUT!E207,"0000000000"))</f>
        <v/>
      </c>
      <c r="F207" s="6">
        <f>IF(E207="","",IF(COUNTIF(INDIRECT("PPI_"&amp;CONFIG!$B$4&amp;"!$A:$A"),VALUE(E207))&gt;0,"IN PPI","NOT IN PPI"))</f>
        <v/>
      </c>
      <c r="G207" s="6">
        <f>IF(F207="","","-")</f>
        <v/>
      </c>
      <c r="H207" s="6">
        <f>IF(INPUT!F207="","",INPUT!F207)</f>
        <v/>
      </c>
      <c r="I207" s="6">
        <f>IF(F207="","","N/A")</f>
        <v/>
      </c>
    </row>
    <row r="208" ht="15" customHeight="1">
      <c r="A208" s="16">
        <f>IF(INPUT!A208="","",INPUT!A208)</f>
        <v/>
      </c>
      <c r="B208" s="16">
        <f>IF(INPUT!B208="","",INPUT!B208)</f>
        <v/>
      </c>
      <c r="C208" s="16">
        <f>IF(INPUT!C208="","",INPUT!C208)</f>
        <v/>
      </c>
      <c r="D208" s="16">
        <f>IF(INPUT!D208="","",INPUT!D208)</f>
        <v/>
      </c>
      <c r="E208" s="17">
        <f>IF(INPUT!E208="","",TEXT(INPUT!E208,"0000000000"))</f>
        <v/>
      </c>
      <c r="F208" s="4">
        <f>IF(E208="","",IF(COUNTIF(INDIRECT("PPI_"&amp;CONFIG!$B$4&amp;"!$A:$A"),VALUE(E208))&gt;0,"IN PPI","NOT IN PPI"))</f>
        <v/>
      </c>
      <c r="G208" s="4">
        <f>IF(F208="","","-")</f>
        <v/>
      </c>
      <c r="H208" s="4">
        <f>IF(INPUT!F208="","",INPUT!F208)</f>
        <v/>
      </c>
      <c r="I208" s="4">
        <f>IF(F208="","","N/A")</f>
        <v/>
      </c>
    </row>
    <row r="209" ht="15" customHeight="1">
      <c r="A209" s="14">
        <f>IF(INPUT!A209="","",INPUT!A209)</f>
        <v/>
      </c>
      <c r="B209" s="14">
        <f>IF(INPUT!B209="","",INPUT!B209)</f>
        <v/>
      </c>
      <c r="C209" s="14">
        <f>IF(INPUT!C209="","",INPUT!C209)</f>
        <v/>
      </c>
      <c r="D209" s="14">
        <f>IF(INPUT!D209="","",INPUT!D209)</f>
        <v/>
      </c>
      <c r="E209" s="15">
        <f>IF(INPUT!E209="","",TEXT(INPUT!E209,"0000000000"))</f>
        <v/>
      </c>
      <c r="F209" s="6">
        <f>IF(E209="","",IF(COUNTIF(INDIRECT("PPI_"&amp;CONFIG!$B$4&amp;"!$A:$A"),VALUE(E209))&gt;0,"IN PPI","NOT IN PPI"))</f>
        <v/>
      </c>
      <c r="G209" s="6">
        <f>IF(F209="","","-")</f>
        <v/>
      </c>
      <c r="H209" s="6">
        <f>IF(INPUT!F209="","",INPUT!F209)</f>
        <v/>
      </c>
      <c r="I209" s="6">
        <f>IF(F209="","","N/A")</f>
        <v/>
      </c>
    </row>
    <row r="210" ht="15" customHeight="1">
      <c r="A210" s="16">
        <f>IF(INPUT!A210="","",INPUT!A210)</f>
        <v/>
      </c>
      <c r="B210" s="16">
        <f>IF(INPUT!B210="","",INPUT!B210)</f>
        <v/>
      </c>
      <c r="C210" s="16">
        <f>IF(INPUT!C210="","",INPUT!C210)</f>
        <v/>
      </c>
      <c r="D210" s="16">
        <f>IF(INPUT!D210="","",INPUT!D210)</f>
        <v/>
      </c>
      <c r="E210" s="17">
        <f>IF(INPUT!E210="","",TEXT(INPUT!E210,"0000000000"))</f>
        <v/>
      </c>
      <c r="F210" s="4">
        <f>IF(E210="","",IF(COUNTIF(INDIRECT("PPI_"&amp;CONFIG!$B$4&amp;"!$A:$A"),VALUE(E210))&gt;0,"IN PPI","NOT IN PPI"))</f>
        <v/>
      </c>
      <c r="G210" s="4">
        <f>IF(F210="","","-")</f>
        <v/>
      </c>
      <c r="H210" s="4">
        <f>IF(INPUT!F210="","",INPUT!F210)</f>
        <v/>
      </c>
      <c r="I210" s="4">
        <f>IF(F210="","","N/A")</f>
        <v/>
      </c>
    </row>
    <row r="211" ht="15" customHeight="1">
      <c r="A211" s="14">
        <f>IF(INPUT!A211="","",INPUT!A211)</f>
        <v/>
      </c>
      <c r="B211" s="14">
        <f>IF(INPUT!B211="","",INPUT!B211)</f>
        <v/>
      </c>
      <c r="C211" s="14">
        <f>IF(INPUT!C211="","",INPUT!C211)</f>
        <v/>
      </c>
      <c r="D211" s="14">
        <f>IF(INPUT!D211="","",INPUT!D211)</f>
        <v/>
      </c>
      <c r="E211" s="15">
        <f>IF(INPUT!E211="","",TEXT(INPUT!E211,"0000000000"))</f>
        <v/>
      </c>
      <c r="F211" s="6">
        <f>IF(E211="","",IF(COUNTIF(INDIRECT("PPI_"&amp;CONFIG!$B$4&amp;"!$A:$A"),VALUE(E211))&gt;0,"IN PPI","NOT IN PPI"))</f>
        <v/>
      </c>
      <c r="G211" s="6">
        <f>IF(F211="","","-")</f>
        <v/>
      </c>
      <c r="H211" s="6">
        <f>IF(INPUT!F211="","",INPUT!F211)</f>
        <v/>
      </c>
      <c r="I211" s="6">
        <f>IF(F211="","","N/A")</f>
        <v/>
      </c>
    </row>
    <row r="212" ht="15" customHeight="1">
      <c r="A212" s="16">
        <f>IF(INPUT!A212="","",INPUT!A212)</f>
        <v/>
      </c>
      <c r="B212" s="16">
        <f>IF(INPUT!B212="","",INPUT!B212)</f>
        <v/>
      </c>
      <c r="C212" s="16">
        <f>IF(INPUT!C212="","",INPUT!C212)</f>
        <v/>
      </c>
      <c r="D212" s="16">
        <f>IF(INPUT!D212="","",INPUT!D212)</f>
        <v/>
      </c>
      <c r="E212" s="17">
        <f>IF(INPUT!E212="","",TEXT(INPUT!E212,"0000000000"))</f>
        <v/>
      </c>
      <c r="F212" s="4">
        <f>IF(E212="","",IF(COUNTIF(INDIRECT("PPI_"&amp;CONFIG!$B$4&amp;"!$A:$A"),VALUE(E212))&gt;0,"IN PPI","NOT IN PPI"))</f>
        <v/>
      </c>
      <c r="G212" s="4">
        <f>IF(F212="","","-")</f>
        <v/>
      </c>
      <c r="H212" s="4">
        <f>IF(INPUT!F212="","",INPUT!F212)</f>
        <v/>
      </c>
      <c r="I212" s="4">
        <f>IF(F212="","","N/A")</f>
        <v/>
      </c>
    </row>
    <row r="213" ht="15" customHeight="1">
      <c r="A213" s="14">
        <f>IF(INPUT!A213="","",INPUT!A213)</f>
        <v/>
      </c>
      <c r="B213" s="14">
        <f>IF(INPUT!B213="","",INPUT!B213)</f>
        <v/>
      </c>
      <c r="C213" s="14">
        <f>IF(INPUT!C213="","",INPUT!C213)</f>
        <v/>
      </c>
      <c r="D213" s="14">
        <f>IF(INPUT!D213="","",INPUT!D213)</f>
        <v/>
      </c>
      <c r="E213" s="15">
        <f>IF(INPUT!E213="","",TEXT(INPUT!E213,"0000000000"))</f>
        <v/>
      </c>
      <c r="F213" s="6">
        <f>IF(E213="","",IF(COUNTIF(INDIRECT("PPI_"&amp;CONFIG!$B$4&amp;"!$A:$A"),VALUE(E213))&gt;0,"IN PPI","NOT IN PPI"))</f>
        <v/>
      </c>
      <c r="G213" s="6">
        <f>IF(F213="","","-")</f>
        <v/>
      </c>
      <c r="H213" s="6">
        <f>IF(INPUT!F213="","",INPUT!F213)</f>
        <v/>
      </c>
      <c r="I213" s="6">
        <f>IF(F213="","","N/A")</f>
        <v/>
      </c>
    </row>
    <row r="214" ht="15" customHeight="1">
      <c r="A214" s="16">
        <f>IF(INPUT!A214="","",INPUT!A214)</f>
        <v/>
      </c>
      <c r="B214" s="16">
        <f>IF(INPUT!B214="","",INPUT!B214)</f>
        <v/>
      </c>
      <c r="C214" s="16">
        <f>IF(INPUT!C214="","",INPUT!C214)</f>
        <v/>
      </c>
      <c r="D214" s="16">
        <f>IF(INPUT!D214="","",INPUT!D214)</f>
        <v/>
      </c>
      <c r="E214" s="17">
        <f>IF(INPUT!E214="","",TEXT(INPUT!E214,"0000000000"))</f>
        <v/>
      </c>
      <c r="F214" s="4">
        <f>IF(E214="","",IF(COUNTIF(INDIRECT("PPI_"&amp;CONFIG!$B$4&amp;"!$A:$A"),VALUE(E214))&gt;0,"IN PPI","NOT IN PPI"))</f>
        <v/>
      </c>
      <c r="G214" s="4">
        <f>IF(F214="","","-")</f>
        <v/>
      </c>
      <c r="H214" s="4">
        <f>IF(INPUT!F214="","",INPUT!F214)</f>
        <v/>
      </c>
      <c r="I214" s="4">
        <f>IF(F214="","","N/A")</f>
        <v/>
      </c>
    </row>
    <row r="215" ht="15" customHeight="1">
      <c r="A215" s="14">
        <f>IF(INPUT!A215="","",INPUT!A215)</f>
        <v/>
      </c>
      <c r="B215" s="14">
        <f>IF(INPUT!B215="","",INPUT!B215)</f>
        <v/>
      </c>
      <c r="C215" s="14">
        <f>IF(INPUT!C215="","",INPUT!C215)</f>
        <v/>
      </c>
      <c r="D215" s="14">
        <f>IF(INPUT!D215="","",INPUT!D215)</f>
        <v/>
      </c>
      <c r="E215" s="15">
        <f>IF(INPUT!E215="","",TEXT(INPUT!E215,"0000000000"))</f>
        <v/>
      </c>
      <c r="F215" s="6">
        <f>IF(E215="","",IF(COUNTIF(INDIRECT("PPI_"&amp;CONFIG!$B$4&amp;"!$A:$A"),VALUE(E215))&gt;0,"IN PPI","NOT IN PPI"))</f>
        <v/>
      </c>
      <c r="G215" s="6">
        <f>IF(F215="","","-")</f>
        <v/>
      </c>
      <c r="H215" s="6">
        <f>IF(INPUT!F215="","",INPUT!F215)</f>
        <v/>
      </c>
      <c r="I215" s="6">
        <f>IF(F215="","","N/A")</f>
        <v/>
      </c>
    </row>
    <row r="216" ht="15" customHeight="1">
      <c r="A216" s="16">
        <f>IF(INPUT!A216="","",INPUT!A216)</f>
        <v/>
      </c>
      <c r="B216" s="16">
        <f>IF(INPUT!B216="","",INPUT!B216)</f>
        <v/>
      </c>
      <c r="C216" s="16">
        <f>IF(INPUT!C216="","",INPUT!C216)</f>
        <v/>
      </c>
      <c r="D216" s="16">
        <f>IF(INPUT!D216="","",INPUT!D216)</f>
        <v/>
      </c>
      <c r="E216" s="17">
        <f>IF(INPUT!E216="","",TEXT(INPUT!E216,"0000000000"))</f>
        <v/>
      </c>
      <c r="F216" s="4">
        <f>IF(E216="","",IF(COUNTIF(INDIRECT("PPI_"&amp;CONFIG!$B$4&amp;"!$A:$A"),VALUE(E216))&gt;0,"IN PPI","NOT IN PPI"))</f>
        <v/>
      </c>
      <c r="G216" s="4">
        <f>IF(F216="","","-")</f>
        <v/>
      </c>
      <c r="H216" s="4">
        <f>IF(INPUT!F216="","",INPUT!F216)</f>
        <v/>
      </c>
      <c r="I216" s="4">
        <f>IF(F216="","","N/A")</f>
        <v/>
      </c>
    </row>
    <row r="217" ht="15" customHeight="1">
      <c r="A217" s="14">
        <f>IF(INPUT!A217="","",INPUT!A217)</f>
        <v/>
      </c>
      <c r="B217" s="14">
        <f>IF(INPUT!B217="","",INPUT!B217)</f>
        <v/>
      </c>
      <c r="C217" s="14">
        <f>IF(INPUT!C217="","",INPUT!C217)</f>
        <v/>
      </c>
      <c r="D217" s="14">
        <f>IF(INPUT!D217="","",INPUT!D217)</f>
        <v/>
      </c>
      <c r="E217" s="15">
        <f>IF(INPUT!E217="","",TEXT(INPUT!E217,"0000000000"))</f>
        <v/>
      </c>
      <c r="F217" s="6">
        <f>IF(E217="","",IF(COUNTIF(INDIRECT("PPI_"&amp;CONFIG!$B$4&amp;"!$A:$A"),VALUE(E217))&gt;0,"IN PPI","NOT IN PPI"))</f>
        <v/>
      </c>
      <c r="G217" s="6">
        <f>IF(F217="","","-")</f>
        <v/>
      </c>
      <c r="H217" s="6">
        <f>IF(INPUT!F217="","",INPUT!F217)</f>
        <v/>
      </c>
      <c r="I217" s="6">
        <f>IF(F217="","","N/A")</f>
        <v/>
      </c>
    </row>
    <row r="218" ht="15" customHeight="1">
      <c r="A218" s="16">
        <f>IF(INPUT!A218="","",INPUT!A218)</f>
        <v/>
      </c>
      <c r="B218" s="16">
        <f>IF(INPUT!B218="","",INPUT!B218)</f>
        <v/>
      </c>
      <c r="C218" s="16">
        <f>IF(INPUT!C218="","",INPUT!C218)</f>
        <v/>
      </c>
      <c r="D218" s="16">
        <f>IF(INPUT!D218="","",INPUT!D218)</f>
        <v/>
      </c>
      <c r="E218" s="17">
        <f>IF(INPUT!E218="","",TEXT(INPUT!E218,"0000000000"))</f>
        <v/>
      </c>
      <c r="F218" s="4">
        <f>IF(E218="","",IF(COUNTIF(INDIRECT("PPI_"&amp;CONFIG!$B$4&amp;"!$A:$A"),VALUE(E218))&gt;0,"IN PPI","NOT IN PPI"))</f>
        <v/>
      </c>
      <c r="G218" s="4">
        <f>IF(F218="","","-")</f>
        <v/>
      </c>
      <c r="H218" s="4">
        <f>IF(INPUT!F218="","",INPUT!F218)</f>
        <v/>
      </c>
      <c r="I218" s="4">
        <f>IF(F218="","","N/A")</f>
        <v/>
      </c>
    </row>
    <row r="219" ht="15" customHeight="1">
      <c r="A219" s="14">
        <f>IF(INPUT!A219="","",INPUT!A219)</f>
        <v/>
      </c>
      <c r="B219" s="14">
        <f>IF(INPUT!B219="","",INPUT!B219)</f>
        <v/>
      </c>
      <c r="C219" s="14">
        <f>IF(INPUT!C219="","",INPUT!C219)</f>
        <v/>
      </c>
      <c r="D219" s="14">
        <f>IF(INPUT!D219="","",INPUT!D219)</f>
        <v/>
      </c>
      <c r="E219" s="15">
        <f>IF(INPUT!E219="","",TEXT(INPUT!E219,"0000000000"))</f>
        <v/>
      </c>
      <c r="F219" s="6">
        <f>IF(E219="","",IF(COUNTIF(INDIRECT("PPI_"&amp;CONFIG!$B$4&amp;"!$A:$A"),VALUE(E219))&gt;0,"IN PPI","NOT IN PPI"))</f>
        <v/>
      </c>
      <c r="G219" s="6">
        <f>IF(F219="","","-")</f>
        <v/>
      </c>
      <c r="H219" s="6">
        <f>IF(INPUT!F219="","",INPUT!F219)</f>
        <v/>
      </c>
      <c r="I219" s="6">
        <f>IF(F219="","","N/A")</f>
        <v/>
      </c>
    </row>
    <row r="220" ht="15" customHeight="1">
      <c r="A220" s="16">
        <f>IF(INPUT!A220="","",INPUT!A220)</f>
        <v/>
      </c>
      <c r="B220" s="16">
        <f>IF(INPUT!B220="","",INPUT!B220)</f>
        <v/>
      </c>
      <c r="C220" s="16">
        <f>IF(INPUT!C220="","",INPUT!C220)</f>
        <v/>
      </c>
      <c r="D220" s="16">
        <f>IF(INPUT!D220="","",INPUT!D220)</f>
        <v/>
      </c>
      <c r="E220" s="17">
        <f>IF(INPUT!E220="","",TEXT(INPUT!E220,"0000000000"))</f>
        <v/>
      </c>
      <c r="F220" s="4">
        <f>IF(E220="","",IF(COUNTIF(INDIRECT("PPI_"&amp;CONFIG!$B$4&amp;"!$A:$A"),VALUE(E220))&gt;0,"IN PPI","NOT IN PPI"))</f>
        <v/>
      </c>
      <c r="G220" s="4">
        <f>IF(F220="","","-")</f>
        <v/>
      </c>
      <c r="H220" s="4">
        <f>IF(INPUT!F220="","",INPUT!F220)</f>
        <v/>
      </c>
      <c r="I220" s="4">
        <f>IF(F220="","","N/A")</f>
        <v/>
      </c>
    </row>
    <row r="221" ht="15" customHeight="1">
      <c r="A221" s="14">
        <f>IF(INPUT!A221="","",INPUT!A221)</f>
        <v/>
      </c>
      <c r="B221" s="14">
        <f>IF(INPUT!B221="","",INPUT!B221)</f>
        <v/>
      </c>
      <c r="C221" s="14">
        <f>IF(INPUT!C221="","",INPUT!C221)</f>
        <v/>
      </c>
      <c r="D221" s="14">
        <f>IF(INPUT!D221="","",INPUT!D221)</f>
        <v/>
      </c>
      <c r="E221" s="15">
        <f>IF(INPUT!E221="","",TEXT(INPUT!E221,"0000000000"))</f>
        <v/>
      </c>
      <c r="F221" s="6">
        <f>IF(E221="","",IF(COUNTIF(INDIRECT("PPI_"&amp;CONFIG!$B$4&amp;"!$A:$A"),VALUE(E221))&gt;0,"IN PPI","NOT IN PPI"))</f>
        <v/>
      </c>
      <c r="G221" s="6">
        <f>IF(F221="","","-")</f>
        <v/>
      </c>
      <c r="H221" s="6">
        <f>IF(INPUT!F221="","",INPUT!F221)</f>
        <v/>
      </c>
      <c r="I221" s="6">
        <f>IF(F221="","","N/A")</f>
        <v/>
      </c>
    </row>
    <row r="222" ht="15" customHeight="1">
      <c r="A222" s="16">
        <f>IF(INPUT!A222="","",INPUT!A222)</f>
        <v/>
      </c>
      <c r="B222" s="16">
        <f>IF(INPUT!B222="","",INPUT!B222)</f>
        <v/>
      </c>
      <c r="C222" s="16">
        <f>IF(INPUT!C222="","",INPUT!C222)</f>
        <v/>
      </c>
      <c r="D222" s="16">
        <f>IF(INPUT!D222="","",INPUT!D222)</f>
        <v/>
      </c>
      <c r="E222" s="17">
        <f>IF(INPUT!E222="","",TEXT(INPUT!E222,"0000000000"))</f>
        <v/>
      </c>
      <c r="F222" s="4">
        <f>IF(E222="","",IF(COUNTIF(INDIRECT("PPI_"&amp;CONFIG!$B$4&amp;"!$A:$A"),VALUE(E222))&gt;0,"IN PPI","NOT IN PPI"))</f>
        <v/>
      </c>
      <c r="G222" s="4">
        <f>IF(F222="","","-")</f>
        <v/>
      </c>
      <c r="H222" s="4">
        <f>IF(INPUT!F222="","",INPUT!F222)</f>
        <v/>
      </c>
      <c r="I222" s="4">
        <f>IF(F222="","","N/A")</f>
        <v/>
      </c>
    </row>
    <row r="223" ht="15" customHeight="1">
      <c r="A223" s="14">
        <f>IF(INPUT!A223="","",INPUT!A223)</f>
        <v/>
      </c>
      <c r="B223" s="14">
        <f>IF(INPUT!B223="","",INPUT!B223)</f>
        <v/>
      </c>
      <c r="C223" s="14">
        <f>IF(INPUT!C223="","",INPUT!C223)</f>
        <v/>
      </c>
      <c r="D223" s="14">
        <f>IF(INPUT!D223="","",INPUT!D223)</f>
        <v/>
      </c>
      <c r="E223" s="15">
        <f>IF(INPUT!E223="","",TEXT(INPUT!E223,"0000000000"))</f>
        <v/>
      </c>
      <c r="F223" s="6">
        <f>IF(E223="","",IF(COUNTIF(INDIRECT("PPI_"&amp;CONFIG!$B$4&amp;"!$A:$A"),VALUE(E223))&gt;0,"IN PPI","NOT IN PPI"))</f>
        <v/>
      </c>
      <c r="G223" s="6">
        <f>IF(F223="","","-")</f>
        <v/>
      </c>
      <c r="H223" s="6">
        <f>IF(INPUT!F223="","",INPUT!F223)</f>
        <v/>
      </c>
      <c r="I223" s="6">
        <f>IF(F223="","","N/A")</f>
        <v/>
      </c>
    </row>
    <row r="224" ht="15" customHeight="1">
      <c r="A224" s="16">
        <f>IF(INPUT!A224="","",INPUT!A224)</f>
        <v/>
      </c>
      <c r="B224" s="16">
        <f>IF(INPUT!B224="","",INPUT!B224)</f>
        <v/>
      </c>
      <c r="C224" s="16">
        <f>IF(INPUT!C224="","",INPUT!C224)</f>
        <v/>
      </c>
      <c r="D224" s="16">
        <f>IF(INPUT!D224="","",INPUT!D224)</f>
        <v/>
      </c>
      <c r="E224" s="17">
        <f>IF(INPUT!E224="","",TEXT(INPUT!E224,"0000000000"))</f>
        <v/>
      </c>
      <c r="F224" s="4">
        <f>IF(E224="","",IF(COUNTIF(INDIRECT("PPI_"&amp;CONFIG!$B$4&amp;"!$A:$A"),VALUE(E224))&gt;0,"IN PPI","NOT IN PPI"))</f>
        <v/>
      </c>
      <c r="G224" s="4">
        <f>IF(F224="","","-")</f>
        <v/>
      </c>
      <c r="H224" s="4">
        <f>IF(INPUT!F224="","",INPUT!F224)</f>
        <v/>
      </c>
      <c r="I224" s="4">
        <f>IF(F224="","","N/A")</f>
        <v/>
      </c>
    </row>
    <row r="225" ht="15" customHeight="1">
      <c r="A225" s="14">
        <f>IF(INPUT!A225="","",INPUT!A225)</f>
        <v/>
      </c>
      <c r="B225" s="14">
        <f>IF(INPUT!B225="","",INPUT!B225)</f>
        <v/>
      </c>
      <c r="C225" s="14">
        <f>IF(INPUT!C225="","",INPUT!C225)</f>
        <v/>
      </c>
      <c r="D225" s="14">
        <f>IF(INPUT!D225="","",INPUT!D225)</f>
        <v/>
      </c>
      <c r="E225" s="15">
        <f>IF(INPUT!E225="","",TEXT(INPUT!E225,"0000000000"))</f>
        <v/>
      </c>
      <c r="F225" s="6">
        <f>IF(E225="","",IF(COUNTIF(INDIRECT("PPI_"&amp;CONFIG!$B$4&amp;"!$A:$A"),VALUE(E225))&gt;0,"IN PPI","NOT IN PPI"))</f>
        <v/>
      </c>
      <c r="G225" s="6">
        <f>IF(F225="","","-")</f>
        <v/>
      </c>
      <c r="H225" s="6">
        <f>IF(INPUT!F225="","",INPUT!F225)</f>
        <v/>
      </c>
      <c r="I225" s="6">
        <f>IF(F225="","","N/A")</f>
        <v/>
      </c>
    </row>
    <row r="226" ht="15" customHeight="1">
      <c r="A226" s="16">
        <f>IF(INPUT!A226="","",INPUT!A226)</f>
        <v/>
      </c>
      <c r="B226" s="16">
        <f>IF(INPUT!B226="","",INPUT!B226)</f>
        <v/>
      </c>
      <c r="C226" s="16">
        <f>IF(INPUT!C226="","",INPUT!C226)</f>
        <v/>
      </c>
      <c r="D226" s="16">
        <f>IF(INPUT!D226="","",INPUT!D226)</f>
        <v/>
      </c>
      <c r="E226" s="17">
        <f>IF(INPUT!E226="","",TEXT(INPUT!E226,"0000000000"))</f>
        <v/>
      </c>
      <c r="F226" s="4">
        <f>IF(E226="","",IF(COUNTIF(INDIRECT("PPI_"&amp;CONFIG!$B$4&amp;"!$A:$A"),VALUE(E226))&gt;0,"IN PPI","NOT IN PPI"))</f>
        <v/>
      </c>
      <c r="G226" s="4">
        <f>IF(F226="","","-")</f>
        <v/>
      </c>
      <c r="H226" s="4">
        <f>IF(INPUT!F226="","",INPUT!F226)</f>
        <v/>
      </c>
      <c r="I226" s="4">
        <f>IF(F226="","","N/A")</f>
        <v/>
      </c>
    </row>
    <row r="227" ht="15" customHeight="1">
      <c r="A227" s="14">
        <f>IF(INPUT!A227="","",INPUT!A227)</f>
        <v/>
      </c>
      <c r="B227" s="14">
        <f>IF(INPUT!B227="","",INPUT!B227)</f>
        <v/>
      </c>
      <c r="C227" s="14">
        <f>IF(INPUT!C227="","",INPUT!C227)</f>
        <v/>
      </c>
      <c r="D227" s="14">
        <f>IF(INPUT!D227="","",INPUT!D227)</f>
        <v/>
      </c>
      <c r="E227" s="15">
        <f>IF(INPUT!E227="","",TEXT(INPUT!E227,"0000000000"))</f>
        <v/>
      </c>
      <c r="F227" s="6">
        <f>IF(E227="","",IF(COUNTIF(INDIRECT("PPI_"&amp;CONFIG!$B$4&amp;"!$A:$A"),VALUE(E227))&gt;0,"IN PPI","NOT IN PPI"))</f>
        <v/>
      </c>
      <c r="G227" s="6">
        <f>IF(F227="","","-")</f>
        <v/>
      </c>
      <c r="H227" s="6">
        <f>IF(INPUT!F227="","",INPUT!F227)</f>
        <v/>
      </c>
      <c r="I227" s="6">
        <f>IF(F227="","","N/A")</f>
        <v/>
      </c>
    </row>
    <row r="228" ht="15" customHeight="1">
      <c r="A228" s="16">
        <f>IF(INPUT!A228="","",INPUT!A228)</f>
        <v/>
      </c>
      <c r="B228" s="16">
        <f>IF(INPUT!B228="","",INPUT!B228)</f>
        <v/>
      </c>
      <c r="C228" s="16">
        <f>IF(INPUT!C228="","",INPUT!C228)</f>
        <v/>
      </c>
      <c r="D228" s="16">
        <f>IF(INPUT!D228="","",INPUT!D228)</f>
        <v/>
      </c>
      <c r="E228" s="17">
        <f>IF(INPUT!E228="","",TEXT(INPUT!E228,"0000000000"))</f>
        <v/>
      </c>
      <c r="F228" s="4">
        <f>IF(E228="","",IF(COUNTIF(INDIRECT("PPI_"&amp;CONFIG!$B$4&amp;"!$A:$A"),VALUE(E228))&gt;0,"IN PPI","NOT IN PPI"))</f>
        <v/>
      </c>
      <c r="G228" s="4">
        <f>IF(F228="","","-")</f>
        <v/>
      </c>
      <c r="H228" s="4">
        <f>IF(INPUT!F228="","",INPUT!F228)</f>
        <v/>
      </c>
      <c r="I228" s="4">
        <f>IF(F228="","","N/A")</f>
        <v/>
      </c>
    </row>
    <row r="229" ht="15" customHeight="1">
      <c r="A229" s="14">
        <f>IF(INPUT!A229="","",INPUT!A229)</f>
        <v/>
      </c>
      <c r="B229" s="14">
        <f>IF(INPUT!B229="","",INPUT!B229)</f>
        <v/>
      </c>
      <c r="C229" s="14">
        <f>IF(INPUT!C229="","",INPUT!C229)</f>
        <v/>
      </c>
      <c r="D229" s="14">
        <f>IF(INPUT!D229="","",INPUT!D229)</f>
        <v/>
      </c>
      <c r="E229" s="15">
        <f>IF(INPUT!E229="","",TEXT(INPUT!E229,"0000000000"))</f>
        <v/>
      </c>
      <c r="F229" s="6">
        <f>IF(E229="","",IF(COUNTIF(INDIRECT("PPI_"&amp;CONFIG!$B$4&amp;"!$A:$A"),VALUE(E229))&gt;0,"IN PPI","NOT IN PPI"))</f>
        <v/>
      </c>
      <c r="G229" s="6">
        <f>IF(F229="","","-")</f>
        <v/>
      </c>
      <c r="H229" s="6">
        <f>IF(INPUT!F229="","",INPUT!F229)</f>
        <v/>
      </c>
      <c r="I229" s="6">
        <f>IF(F229="","","N/A")</f>
        <v/>
      </c>
    </row>
    <row r="230" ht="15" customHeight="1">
      <c r="A230" s="16">
        <f>IF(INPUT!A230="","",INPUT!A230)</f>
        <v/>
      </c>
      <c r="B230" s="16">
        <f>IF(INPUT!B230="","",INPUT!B230)</f>
        <v/>
      </c>
      <c r="C230" s="16">
        <f>IF(INPUT!C230="","",INPUT!C230)</f>
        <v/>
      </c>
      <c r="D230" s="16">
        <f>IF(INPUT!D230="","",INPUT!D230)</f>
        <v/>
      </c>
      <c r="E230" s="17">
        <f>IF(INPUT!E230="","",TEXT(INPUT!E230,"0000000000"))</f>
        <v/>
      </c>
      <c r="F230" s="4">
        <f>IF(E230="","",IF(COUNTIF(INDIRECT("PPI_"&amp;CONFIG!$B$4&amp;"!$A:$A"),VALUE(E230))&gt;0,"IN PPI","NOT IN PPI"))</f>
        <v/>
      </c>
      <c r="G230" s="4">
        <f>IF(F230="","","-")</f>
        <v/>
      </c>
      <c r="H230" s="4">
        <f>IF(INPUT!F230="","",INPUT!F230)</f>
        <v/>
      </c>
      <c r="I230" s="4">
        <f>IF(F230="","","N/A")</f>
        <v/>
      </c>
    </row>
    <row r="231" ht="15" customHeight="1">
      <c r="A231" s="14">
        <f>IF(INPUT!A231="","",INPUT!A231)</f>
        <v/>
      </c>
      <c r="B231" s="14">
        <f>IF(INPUT!B231="","",INPUT!B231)</f>
        <v/>
      </c>
      <c r="C231" s="14">
        <f>IF(INPUT!C231="","",INPUT!C231)</f>
        <v/>
      </c>
      <c r="D231" s="14">
        <f>IF(INPUT!D231="","",INPUT!D231)</f>
        <v/>
      </c>
      <c r="E231" s="15">
        <f>IF(INPUT!E231="","",TEXT(INPUT!E231,"0000000000"))</f>
        <v/>
      </c>
      <c r="F231" s="6">
        <f>IF(E231="","",IF(COUNTIF(INDIRECT("PPI_"&amp;CONFIG!$B$4&amp;"!$A:$A"),VALUE(E231))&gt;0,"IN PPI","NOT IN PPI"))</f>
        <v/>
      </c>
      <c r="G231" s="6">
        <f>IF(F231="","","-")</f>
        <v/>
      </c>
      <c r="H231" s="6">
        <f>IF(INPUT!F231="","",INPUT!F231)</f>
        <v/>
      </c>
      <c r="I231" s="6">
        <f>IF(F231="","","N/A")</f>
        <v/>
      </c>
    </row>
    <row r="232" ht="15" customHeight="1">
      <c r="A232" s="16">
        <f>IF(INPUT!A232="","",INPUT!A232)</f>
        <v/>
      </c>
      <c r="B232" s="16">
        <f>IF(INPUT!B232="","",INPUT!B232)</f>
        <v/>
      </c>
      <c r="C232" s="16">
        <f>IF(INPUT!C232="","",INPUT!C232)</f>
        <v/>
      </c>
      <c r="D232" s="16">
        <f>IF(INPUT!D232="","",INPUT!D232)</f>
        <v/>
      </c>
      <c r="E232" s="17">
        <f>IF(INPUT!E232="","",TEXT(INPUT!E232,"0000000000"))</f>
        <v/>
      </c>
      <c r="F232" s="4">
        <f>IF(E232="","",IF(COUNTIF(INDIRECT("PPI_"&amp;CONFIG!$B$4&amp;"!$A:$A"),VALUE(E232))&gt;0,"IN PPI","NOT IN PPI"))</f>
        <v/>
      </c>
      <c r="G232" s="4">
        <f>IF(F232="","","-")</f>
        <v/>
      </c>
      <c r="H232" s="4">
        <f>IF(INPUT!F232="","",INPUT!F232)</f>
        <v/>
      </c>
      <c r="I232" s="4">
        <f>IF(F232="","","N/A")</f>
        <v/>
      </c>
    </row>
    <row r="233" ht="15" customHeight="1">
      <c r="A233" s="14">
        <f>IF(INPUT!A233="","",INPUT!A233)</f>
        <v/>
      </c>
      <c r="B233" s="14">
        <f>IF(INPUT!B233="","",INPUT!B233)</f>
        <v/>
      </c>
      <c r="C233" s="14">
        <f>IF(INPUT!C233="","",INPUT!C233)</f>
        <v/>
      </c>
      <c r="D233" s="14">
        <f>IF(INPUT!D233="","",INPUT!D233)</f>
        <v/>
      </c>
      <c r="E233" s="15">
        <f>IF(INPUT!E233="","",TEXT(INPUT!E233,"0000000000"))</f>
        <v/>
      </c>
      <c r="F233" s="6">
        <f>IF(E233="","",IF(COUNTIF(INDIRECT("PPI_"&amp;CONFIG!$B$4&amp;"!$A:$A"),VALUE(E233))&gt;0,"IN PPI","NOT IN PPI"))</f>
        <v/>
      </c>
      <c r="G233" s="6">
        <f>IF(F233="","","-")</f>
        <v/>
      </c>
      <c r="H233" s="6">
        <f>IF(INPUT!F233="","",INPUT!F233)</f>
        <v/>
      </c>
      <c r="I233" s="6">
        <f>IF(F233="","","N/A")</f>
        <v/>
      </c>
    </row>
    <row r="234" ht="15" customHeight="1">
      <c r="A234" s="16">
        <f>IF(INPUT!A234="","",INPUT!A234)</f>
        <v/>
      </c>
      <c r="B234" s="16">
        <f>IF(INPUT!B234="","",INPUT!B234)</f>
        <v/>
      </c>
      <c r="C234" s="16">
        <f>IF(INPUT!C234="","",INPUT!C234)</f>
        <v/>
      </c>
      <c r="D234" s="16">
        <f>IF(INPUT!D234="","",INPUT!D234)</f>
        <v/>
      </c>
      <c r="E234" s="17">
        <f>IF(INPUT!E234="","",TEXT(INPUT!E234,"0000000000"))</f>
        <v/>
      </c>
      <c r="F234" s="4">
        <f>IF(E234="","",IF(COUNTIF(INDIRECT("PPI_"&amp;CONFIG!$B$4&amp;"!$A:$A"),VALUE(E234))&gt;0,"IN PPI","NOT IN PPI"))</f>
        <v/>
      </c>
      <c r="G234" s="4">
        <f>IF(F234="","","-")</f>
        <v/>
      </c>
      <c r="H234" s="4">
        <f>IF(INPUT!F234="","",INPUT!F234)</f>
        <v/>
      </c>
      <c r="I234" s="4">
        <f>IF(F234="","","N/A")</f>
        <v/>
      </c>
    </row>
    <row r="235" ht="15" customHeight="1">
      <c r="A235" s="14">
        <f>IF(INPUT!A235="","",INPUT!A235)</f>
        <v/>
      </c>
      <c r="B235" s="14">
        <f>IF(INPUT!B235="","",INPUT!B235)</f>
        <v/>
      </c>
      <c r="C235" s="14">
        <f>IF(INPUT!C235="","",INPUT!C235)</f>
        <v/>
      </c>
      <c r="D235" s="14">
        <f>IF(INPUT!D235="","",INPUT!D235)</f>
        <v/>
      </c>
      <c r="E235" s="15">
        <f>IF(INPUT!E235="","",TEXT(INPUT!E235,"0000000000"))</f>
        <v/>
      </c>
      <c r="F235" s="6">
        <f>IF(E235="","",IF(COUNTIF(INDIRECT("PPI_"&amp;CONFIG!$B$4&amp;"!$A:$A"),VALUE(E235))&gt;0,"IN PPI","NOT IN PPI"))</f>
        <v/>
      </c>
      <c r="G235" s="6">
        <f>IF(F235="","","-")</f>
        <v/>
      </c>
      <c r="H235" s="6">
        <f>IF(INPUT!F235="","",INPUT!F235)</f>
        <v/>
      </c>
      <c r="I235" s="6">
        <f>IF(F235="","","N/A")</f>
        <v/>
      </c>
    </row>
    <row r="236" ht="15" customHeight="1">
      <c r="A236" s="16">
        <f>IF(INPUT!A236="","",INPUT!A236)</f>
        <v/>
      </c>
      <c r="B236" s="16">
        <f>IF(INPUT!B236="","",INPUT!B236)</f>
        <v/>
      </c>
      <c r="C236" s="16">
        <f>IF(INPUT!C236="","",INPUT!C236)</f>
        <v/>
      </c>
      <c r="D236" s="16">
        <f>IF(INPUT!D236="","",INPUT!D236)</f>
        <v/>
      </c>
      <c r="E236" s="17">
        <f>IF(INPUT!E236="","",TEXT(INPUT!E236,"0000000000"))</f>
        <v/>
      </c>
      <c r="F236" s="4">
        <f>IF(E236="","",IF(COUNTIF(INDIRECT("PPI_"&amp;CONFIG!$B$4&amp;"!$A:$A"),VALUE(E236))&gt;0,"IN PPI","NOT IN PPI"))</f>
        <v/>
      </c>
      <c r="G236" s="4">
        <f>IF(F236="","","-")</f>
        <v/>
      </c>
      <c r="H236" s="4">
        <f>IF(INPUT!F236="","",INPUT!F236)</f>
        <v/>
      </c>
      <c r="I236" s="4">
        <f>IF(F236="","","N/A")</f>
        <v/>
      </c>
    </row>
    <row r="237" ht="15" customHeight="1">
      <c r="A237" s="14">
        <f>IF(INPUT!A237="","",INPUT!A237)</f>
        <v/>
      </c>
      <c r="B237" s="14">
        <f>IF(INPUT!B237="","",INPUT!B237)</f>
        <v/>
      </c>
      <c r="C237" s="14">
        <f>IF(INPUT!C237="","",INPUT!C237)</f>
        <v/>
      </c>
      <c r="D237" s="14">
        <f>IF(INPUT!D237="","",INPUT!D237)</f>
        <v/>
      </c>
      <c r="E237" s="15">
        <f>IF(INPUT!E237="","",TEXT(INPUT!E237,"0000000000"))</f>
        <v/>
      </c>
      <c r="F237" s="6">
        <f>IF(E237="","",IF(COUNTIF(INDIRECT("PPI_"&amp;CONFIG!$B$4&amp;"!$A:$A"),VALUE(E237))&gt;0,"IN PPI","NOT IN PPI"))</f>
        <v/>
      </c>
      <c r="G237" s="6">
        <f>IF(F237="","","-")</f>
        <v/>
      </c>
      <c r="H237" s="6">
        <f>IF(INPUT!F237="","",INPUT!F237)</f>
        <v/>
      </c>
      <c r="I237" s="6">
        <f>IF(F237="","","N/A")</f>
        <v/>
      </c>
    </row>
    <row r="238" ht="15" customHeight="1">
      <c r="A238" s="16">
        <f>IF(INPUT!A238="","",INPUT!A238)</f>
        <v/>
      </c>
      <c r="B238" s="16">
        <f>IF(INPUT!B238="","",INPUT!B238)</f>
        <v/>
      </c>
      <c r="C238" s="16">
        <f>IF(INPUT!C238="","",INPUT!C238)</f>
        <v/>
      </c>
      <c r="D238" s="16">
        <f>IF(INPUT!D238="","",INPUT!D238)</f>
        <v/>
      </c>
      <c r="E238" s="17">
        <f>IF(INPUT!E238="","",TEXT(INPUT!E238,"0000000000"))</f>
        <v/>
      </c>
      <c r="F238" s="4">
        <f>IF(E238="","",IF(COUNTIF(INDIRECT("PPI_"&amp;CONFIG!$B$4&amp;"!$A:$A"),VALUE(E238))&gt;0,"IN PPI","NOT IN PPI"))</f>
        <v/>
      </c>
      <c r="G238" s="4">
        <f>IF(F238="","","-")</f>
        <v/>
      </c>
      <c r="H238" s="4">
        <f>IF(INPUT!F238="","",INPUT!F238)</f>
        <v/>
      </c>
      <c r="I238" s="4">
        <f>IF(F238="","","N/A")</f>
        <v/>
      </c>
    </row>
    <row r="239" ht="15" customHeight="1">
      <c r="A239" s="14">
        <f>IF(INPUT!A239="","",INPUT!A239)</f>
        <v/>
      </c>
      <c r="B239" s="14">
        <f>IF(INPUT!B239="","",INPUT!B239)</f>
        <v/>
      </c>
      <c r="C239" s="14">
        <f>IF(INPUT!C239="","",INPUT!C239)</f>
        <v/>
      </c>
      <c r="D239" s="14">
        <f>IF(INPUT!D239="","",INPUT!D239)</f>
        <v/>
      </c>
      <c r="E239" s="15">
        <f>IF(INPUT!E239="","",TEXT(INPUT!E239,"0000000000"))</f>
        <v/>
      </c>
      <c r="F239" s="6">
        <f>IF(E239="","",IF(COUNTIF(INDIRECT("PPI_"&amp;CONFIG!$B$4&amp;"!$A:$A"),VALUE(E239))&gt;0,"IN PPI","NOT IN PPI"))</f>
        <v/>
      </c>
      <c r="G239" s="6">
        <f>IF(F239="","","-")</f>
        <v/>
      </c>
      <c r="H239" s="6">
        <f>IF(INPUT!F239="","",INPUT!F239)</f>
        <v/>
      </c>
      <c r="I239" s="6">
        <f>IF(F239="","","N/A")</f>
        <v/>
      </c>
    </row>
    <row r="240" ht="15" customHeight="1">
      <c r="A240" s="16">
        <f>IF(INPUT!A240="","",INPUT!A240)</f>
        <v/>
      </c>
      <c r="B240" s="16">
        <f>IF(INPUT!B240="","",INPUT!B240)</f>
        <v/>
      </c>
      <c r="C240" s="16">
        <f>IF(INPUT!C240="","",INPUT!C240)</f>
        <v/>
      </c>
      <c r="D240" s="16">
        <f>IF(INPUT!D240="","",INPUT!D240)</f>
        <v/>
      </c>
      <c r="E240" s="17">
        <f>IF(INPUT!E240="","",TEXT(INPUT!E240,"0000000000"))</f>
        <v/>
      </c>
      <c r="F240" s="4">
        <f>IF(E240="","",IF(COUNTIF(INDIRECT("PPI_"&amp;CONFIG!$B$4&amp;"!$A:$A"),VALUE(E240))&gt;0,"IN PPI","NOT IN PPI"))</f>
        <v/>
      </c>
      <c r="G240" s="4">
        <f>IF(F240="","","-")</f>
        <v/>
      </c>
      <c r="H240" s="4">
        <f>IF(INPUT!F240="","",INPUT!F240)</f>
        <v/>
      </c>
      <c r="I240" s="4">
        <f>IF(F240="","","N/A")</f>
        <v/>
      </c>
    </row>
    <row r="241" ht="15" customHeight="1">
      <c r="A241" s="14">
        <f>IF(INPUT!A241="","",INPUT!A241)</f>
        <v/>
      </c>
      <c r="B241" s="14">
        <f>IF(INPUT!B241="","",INPUT!B241)</f>
        <v/>
      </c>
      <c r="C241" s="14">
        <f>IF(INPUT!C241="","",INPUT!C241)</f>
        <v/>
      </c>
      <c r="D241" s="14">
        <f>IF(INPUT!D241="","",INPUT!D241)</f>
        <v/>
      </c>
      <c r="E241" s="15">
        <f>IF(INPUT!E241="","",TEXT(INPUT!E241,"0000000000"))</f>
        <v/>
      </c>
      <c r="F241" s="6">
        <f>IF(E241="","",IF(COUNTIF(INDIRECT("PPI_"&amp;CONFIG!$B$4&amp;"!$A:$A"),VALUE(E241))&gt;0,"IN PPI","NOT IN PPI"))</f>
        <v/>
      </c>
      <c r="G241" s="6">
        <f>IF(F241="","","-")</f>
        <v/>
      </c>
      <c r="H241" s="6">
        <f>IF(INPUT!F241="","",INPUT!F241)</f>
        <v/>
      </c>
      <c r="I241" s="6">
        <f>IF(F241="","","N/A")</f>
        <v/>
      </c>
    </row>
    <row r="242" ht="15" customHeight="1">
      <c r="A242" s="16">
        <f>IF(INPUT!A242="","",INPUT!A242)</f>
        <v/>
      </c>
      <c r="B242" s="16">
        <f>IF(INPUT!B242="","",INPUT!B242)</f>
        <v/>
      </c>
      <c r="C242" s="16">
        <f>IF(INPUT!C242="","",INPUT!C242)</f>
        <v/>
      </c>
      <c r="D242" s="16">
        <f>IF(INPUT!D242="","",INPUT!D242)</f>
        <v/>
      </c>
      <c r="E242" s="17">
        <f>IF(INPUT!E242="","",TEXT(INPUT!E242,"0000000000"))</f>
        <v/>
      </c>
      <c r="F242" s="4">
        <f>IF(E242="","",IF(COUNTIF(INDIRECT("PPI_"&amp;CONFIG!$B$4&amp;"!$A:$A"),VALUE(E242))&gt;0,"IN PPI","NOT IN PPI"))</f>
        <v/>
      </c>
      <c r="G242" s="4">
        <f>IF(F242="","","-")</f>
        <v/>
      </c>
      <c r="H242" s="4">
        <f>IF(INPUT!F242="","",INPUT!F242)</f>
        <v/>
      </c>
      <c r="I242" s="4">
        <f>IF(F242="","","N/A")</f>
        <v/>
      </c>
    </row>
    <row r="243" ht="15" customHeight="1">
      <c r="A243" s="14">
        <f>IF(INPUT!A243="","",INPUT!A243)</f>
        <v/>
      </c>
      <c r="B243" s="14">
        <f>IF(INPUT!B243="","",INPUT!B243)</f>
        <v/>
      </c>
      <c r="C243" s="14">
        <f>IF(INPUT!C243="","",INPUT!C243)</f>
        <v/>
      </c>
      <c r="D243" s="14">
        <f>IF(INPUT!D243="","",INPUT!D243)</f>
        <v/>
      </c>
      <c r="E243" s="15">
        <f>IF(INPUT!E243="","",TEXT(INPUT!E243,"0000000000"))</f>
        <v/>
      </c>
      <c r="F243" s="6">
        <f>IF(E243="","",IF(COUNTIF(INDIRECT("PPI_"&amp;CONFIG!$B$4&amp;"!$A:$A"),VALUE(E243))&gt;0,"IN PPI","NOT IN PPI"))</f>
        <v/>
      </c>
      <c r="G243" s="6">
        <f>IF(F243="","","-")</f>
        <v/>
      </c>
      <c r="H243" s="6">
        <f>IF(INPUT!F243="","",INPUT!F243)</f>
        <v/>
      </c>
      <c r="I243" s="6">
        <f>IF(F243="","","N/A")</f>
        <v/>
      </c>
    </row>
    <row r="244" ht="15" customHeight="1">
      <c r="A244" s="16">
        <f>IF(INPUT!A244="","",INPUT!A244)</f>
        <v/>
      </c>
      <c r="B244" s="16">
        <f>IF(INPUT!B244="","",INPUT!B244)</f>
        <v/>
      </c>
      <c r="C244" s="16">
        <f>IF(INPUT!C244="","",INPUT!C244)</f>
        <v/>
      </c>
      <c r="D244" s="16">
        <f>IF(INPUT!D244="","",INPUT!D244)</f>
        <v/>
      </c>
      <c r="E244" s="17">
        <f>IF(INPUT!E244="","",TEXT(INPUT!E244,"0000000000"))</f>
        <v/>
      </c>
      <c r="F244" s="4">
        <f>IF(E244="","",IF(COUNTIF(INDIRECT("PPI_"&amp;CONFIG!$B$4&amp;"!$A:$A"),VALUE(E244))&gt;0,"IN PPI","NOT IN PPI"))</f>
        <v/>
      </c>
      <c r="G244" s="4">
        <f>IF(F244="","","-")</f>
        <v/>
      </c>
      <c r="H244" s="4">
        <f>IF(INPUT!F244="","",INPUT!F244)</f>
        <v/>
      </c>
      <c r="I244" s="4">
        <f>IF(F244="","","N/A")</f>
        <v/>
      </c>
    </row>
    <row r="245" ht="15" customHeight="1">
      <c r="A245" s="14">
        <f>IF(INPUT!A245="","",INPUT!A245)</f>
        <v/>
      </c>
      <c r="B245" s="14">
        <f>IF(INPUT!B245="","",INPUT!B245)</f>
        <v/>
      </c>
      <c r="C245" s="14">
        <f>IF(INPUT!C245="","",INPUT!C245)</f>
        <v/>
      </c>
      <c r="D245" s="14">
        <f>IF(INPUT!D245="","",INPUT!D245)</f>
        <v/>
      </c>
      <c r="E245" s="15">
        <f>IF(INPUT!E245="","",TEXT(INPUT!E245,"0000000000"))</f>
        <v/>
      </c>
      <c r="F245" s="6">
        <f>IF(E245="","",IF(COUNTIF(INDIRECT("PPI_"&amp;CONFIG!$B$4&amp;"!$A:$A"),VALUE(E245))&gt;0,"IN PPI","NOT IN PPI"))</f>
        <v/>
      </c>
      <c r="G245" s="6">
        <f>IF(F245="","","-")</f>
        <v/>
      </c>
      <c r="H245" s="6">
        <f>IF(INPUT!F245="","",INPUT!F245)</f>
        <v/>
      </c>
      <c r="I245" s="6">
        <f>IF(F245="","","N/A")</f>
        <v/>
      </c>
    </row>
    <row r="246" ht="15" customHeight="1">
      <c r="A246" s="16">
        <f>IF(INPUT!A246="","",INPUT!A246)</f>
        <v/>
      </c>
      <c r="B246" s="16">
        <f>IF(INPUT!B246="","",INPUT!B246)</f>
        <v/>
      </c>
      <c r="C246" s="16">
        <f>IF(INPUT!C246="","",INPUT!C246)</f>
        <v/>
      </c>
      <c r="D246" s="16">
        <f>IF(INPUT!D246="","",INPUT!D246)</f>
        <v/>
      </c>
      <c r="E246" s="17">
        <f>IF(INPUT!E246="","",TEXT(INPUT!E246,"0000000000"))</f>
        <v/>
      </c>
      <c r="F246" s="4">
        <f>IF(E246="","",IF(COUNTIF(INDIRECT("PPI_"&amp;CONFIG!$B$4&amp;"!$A:$A"),VALUE(E246))&gt;0,"IN PPI","NOT IN PPI"))</f>
        <v/>
      </c>
      <c r="G246" s="4">
        <f>IF(F246="","","-")</f>
        <v/>
      </c>
      <c r="H246" s="4">
        <f>IF(INPUT!F246="","",INPUT!F246)</f>
        <v/>
      </c>
      <c r="I246" s="4">
        <f>IF(F246="","","N/A")</f>
        <v/>
      </c>
    </row>
    <row r="247" ht="15" customHeight="1">
      <c r="A247" s="14">
        <f>IF(INPUT!A247="","",INPUT!A247)</f>
        <v/>
      </c>
      <c r="B247" s="14">
        <f>IF(INPUT!B247="","",INPUT!B247)</f>
        <v/>
      </c>
      <c r="C247" s="14">
        <f>IF(INPUT!C247="","",INPUT!C247)</f>
        <v/>
      </c>
      <c r="D247" s="14">
        <f>IF(INPUT!D247="","",INPUT!D247)</f>
        <v/>
      </c>
      <c r="E247" s="15">
        <f>IF(INPUT!E247="","",TEXT(INPUT!E247,"0000000000"))</f>
        <v/>
      </c>
      <c r="F247" s="6">
        <f>IF(E247="","",IF(COUNTIF(INDIRECT("PPI_"&amp;CONFIG!$B$4&amp;"!$A:$A"),VALUE(E247))&gt;0,"IN PPI","NOT IN PPI"))</f>
        <v/>
      </c>
      <c r="G247" s="6">
        <f>IF(F247="","","-")</f>
        <v/>
      </c>
      <c r="H247" s="6">
        <f>IF(INPUT!F247="","",INPUT!F247)</f>
        <v/>
      </c>
      <c r="I247" s="6">
        <f>IF(F247="","","N/A")</f>
        <v/>
      </c>
    </row>
    <row r="248" ht="15" customHeight="1">
      <c r="A248" s="16">
        <f>IF(INPUT!A248="","",INPUT!A248)</f>
        <v/>
      </c>
      <c r="B248" s="16">
        <f>IF(INPUT!B248="","",INPUT!B248)</f>
        <v/>
      </c>
      <c r="C248" s="16">
        <f>IF(INPUT!C248="","",INPUT!C248)</f>
        <v/>
      </c>
      <c r="D248" s="16">
        <f>IF(INPUT!D248="","",INPUT!D248)</f>
        <v/>
      </c>
      <c r="E248" s="17">
        <f>IF(INPUT!E248="","",TEXT(INPUT!E248,"0000000000"))</f>
        <v/>
      </c>
      <c r="F248" s="4">
        <f>IF(E248="","",IF(COUNTIF(INDIRECT("PPI_"&amp;CONFIG!$B$4&amp;"!$A:$A"),VALUE(E248))&gt;0,"IN PPI","NOT IN PPI"))</f>
        <v/>
      </c>
      <c r="G248" s="4">
        <f>IF(F248="","","-")</f>
        <v/>
      </c>
      <c r="H248" s="4">
        <f>IF(INPUT!F248="","",INPUT!F248)</f>
        <v/>
      </c>
      <c r="I248" s="4">
        <f>IF(F248="","","N/A")</f>
        <v/>
      </c>
    </row>
    <row r="249" ht="15" customHeight="1">
      <c r="A249" s="14">
        <f>IF(INPUT!A249="","",INPUT!A249)</f>
        <v/>
      </c>
      <c r="B249" s="14">
        <f>IF(INPUT!B249="","",INPUT!B249)</f>
        <v/>
      </c>
      <c r="C249" s="14">
        <f>IF(INPUT!C249="","",INPUT!C249)</f>
        <v/>
      </c>
      <c r="D249" s="14">
        <f>IF(INPUT!D249="","",INPUT!D249)</f>
        <v/>
      </c>
      <c r="E249" s="15">
        <f>IF(INPUT!E249="","",TEXT(INPUT!E249,"0000000000"))</f>
        <v/>
      </c>
      <c r="F249" s="6">
        <f>IF(E249="","",IF(COUNTIF(INDIRECT("PPI_"&amp;CONFIG!$B$4&amp;"!$A:$A"),VALUE(E249))&gt;0,"IN PPI","NOT IN PPI"))</f>
        <v/>
      </c>
      <c r="G249" s="6">
        <f>IF(F249="","","-")</f>
        <v/>
      </c>
      <c r="H249" s="6">
        <f>IF(INPUT!F249="","",INPUT!F249)</f>
        <v/>
      </c>
      <c r="I249" s="6">
        <f>IF(F249="","","N/A")</f>
        <v/>
      </c>
    </row>
    <row r="250" ht="15" customHeight="1">
      <c r="A250" s="16">
        <f>IF(INPUT!A250="","",INPUT!A250)</f>
        <v/>
      </c>
      <c r="B250" s="16">
        <f>IF(INPUT!B250="","",INPUT!B250)</f>
        <v/>
      </c>
      <c r="C250" s="16">
        <f>IF(INPUT!C250="","",INPUT!C250)</f>
        <v/>
      </c>
      <c r="D250" s="16">
        <f>IF(INPUT!D250="","",INPUT!D250)</f>
        <v/>
      </c>
      <c r="E250" s="17">
        <f>IF(INPUT!E250="","",TEXT(INPUT!E250,"0000000000"))</f>
        <v/>
      </c>
      <c r="F250" s="4">
        <f>IF(E250="","",IF(COUNTIF(INDIRECT("PPI_"&amp;CONFIG!$B$4&amp;"!$A:$A"),VALUE(E250))&gt;0,"IN PPI","NOT IN PPI"))</f>
        <v/>
      </c>
      <c r="G250" s="4">
        <f>IF(F250="","","-")</f>
        <v/>
      </c>
      <c r="H250" s="4">
        <f>IF(INPUT!F250="","",INPUT!F250)</f>
        <v/>
      </c>
      <c r="I250" s="4">
        <f>IF(F250="","","N/A")</f>
        <v/>
      </c>
    </row>
    <row r="251" ht="15" customHeight="1">
      <c r="A251" s="14">
        <f>IF(INPUT!A251="","",INPUT!A251)</f>
        <v/>
      </c>
      <c r="B251" s="14">
        <f>IF(INPUT!B251="","",INPUT!B251)</f>
        <v/>
      </c>
      <c r="C251" s="14">
        <f>IF(INPUT!C251="","",INPUT!C251)</f>
        <v/>
      </c>
      <c r="D251" s="14">
        <f>IF(INPUT!D251="","",INPUT!D251)</f>
        <v/>
      </c>
      <c r="E251" s="15">
        <f>IF(INPUT!E251="","",TEXT(INPUT!E251,"0000000000"))</f>
        <v/>
      </c>
      <c r="F251" s="6">
        <f>IF(E251="","",IF(COUNTIF(INDIRECT("PPI_"&amp;CONFIG!$B$4&amp;"!$A:$A"),VALUE(E251))&gt;0,"IN PPI","NOT IN PPI"))</f>
        <v/>
      </c>
      <c r="G251" s="6">
        <f>IF(F251="","","-")</f>
        <v/>
      </c>
      <c r="H251" s="6">
        <f>IF(INPUT!F251="","",INPUT!F251)</f>
        <v/>
      </c>
      <c r="I251" s="6">
        <f>IF(F251="","","N/A")</f>
        <v/>
      </c>
    </row>
    <row r="252" ht="15" customHeight="1">
      <c r="A252" s="16">
        <f>IF(INPUT!A252="","",INPUT!A252)</f>
        <v/>
      </c>
      <c r="B252" s="16">
        <f>IF(INPUT!B252="","",INPUT!B252)</f>
        <v/>
      </c>
      <c r="C252" s="16">
        <f>IF(INPUT!C252="","",INPUT!C252)</f>
        <v/>
      </c>
      <c r="D252" s="16">
        <f>IF(INPUT!D252="","",INPUT!D252)</f>
        <v/>
      </c>
      <c r="E252" s="17">
        <f>IF(INPUT!E252="","",TEXT(INPUT!E252,"0000000000"))</f>
        <v/>
      </c>
      <c r="F252" s="4">
        <f>IF(E252="","",IF(COUNTIF(INDIRECT("PPI_"&amp;CONFIG!$B$4&amp;"!$A:$A"),VALUE(E252))&gt;0,"IN PPI","NOT IN PPI"))</f>
        <v/>
      </c>
      <c r="G252" s="4">
        <f>IF(F252="","","-")</f>
        <v/>
      </c>
      <c r="H252" s="4">
        <f>IF(INPUT!F252="","",INPUT!F252)</f>
        <v/>
      </c>
      <c r="I252" s="4">
        <f>IF(F252="","","N/A")</f>
        <v/>
      </c>
    </row>
    <row r="253" ht="15" customHeight="1">
      <c r="A253" s="14">
        <f>IF(INPUT!A253="","",INPUT!A253)</f>
        <v/>
      </c>
      <c r="B253" s="14">
        <f>IF(INPUT!B253="","",INPUT!B253)</f>
        <v/>
      </c>
      <c r="C253" s="14">
        <f>IF(INPUT!C253="","",INPUT!C253)</f>
        <v/>
      </c>
      <c r="D253" s="14">
        <f>IF(INPUT!D253="","",INPUT!D253)</f>
        <v/>
      </c>
      <c r="E253" s="15">
        <f>IF(INPUT!E253="","",TEXT(INPUT!E253,"0000000000"))</f>
        <v/>
      </c>
      <c r="F253" s="6">
        <f>IF(E253="","",IF(COUNTIF(INDIRECT("PPI_"&amp;CONFIG!$B$4&amp;"!$A:$A"),VALUE(E253))&gt;0,"IN PPI","NOT IN PPI"))</f>
        <v/>
      </c>
      <c r="G253" s="6">
        <f>IF(F253="","","-")</f>
        <v/>
      </c>
      <c r="H253" s="6">
        <f>IF(INPUT!F253="","",INPUT!F253)</f>
        <v/>
      </c>
      <c r="I253" s="6">
        <f>IF(F253="","","N/A")</f>
        <v/>
      </c>
    </row>
    <row r="254" ht="15" customHeight="1">
      <c r="A254" s="16">
        <f>IF(INPUT!A254="","",INPUT!A254)</f>
        <v/>
      </c>
      <c r="B254" s="16">
        <f>IF(INPUT!B254="","",INPUT!B254)</f>
        <v/>
      </c>
      <c r="C254" s="16">
        <f>IF(INPUT!C254="","",INPUT!C254)</f>
        <v/>
      </c>
      <c r="D254" s="16">
        <f>IF(INPUT!D254="","",INPUT!D254)</f>
        <v/>
      </c>
      <c r="E254" s="17">
        <f>IF(INPUT!E254="","",TEXT(INPUT!E254,"0000000000"))</f>
        <v/>
      </c>
      <c r="F254" s="4">
        <f>IF(E254="","",IF(COUNTIF(INDIRECT("PPI_"&amp;CONFIG!$B$4&amp;"!$A:$A"),VALUE(E254))&gt;0,"IN PPI","NOT IN PPI"))</f>
        <v/>
      </c>
      <c r="G254" s="4">
        <f>IF(F254="","","-")</f>
        <v/>
      </c>
      <c r="H254" s="4">
        <f>IF(INPUT!F254="","",INPUT!F254)</f>
        <v/>
      </c>
      <c r="I254" s="4">
        <f>IF(F254="","","N/A")</f>
        <v/>
      </c>
    </row>
    <row r="255" ht="15" customHeight="1">
      <c r="A255" s="14">
        <f>IF(INPUT!A255="","",INPUT!A255)</f>
        <v/>
      </c>
      <c r="B255" s="14">
        <f>IF(INPUT!B255="","",INPUT!B255)</f>
        <v/>
      </c>
      <c r="C255" s="14">
        <f>IF(INPUT!C255="","",INPUT!C255)</f>
        <v/>
      </c>
      <c r="D255" s="14">
        <f>IF(INPUT!D255="","",INPUT!D255)</f>
        <v/>
      </c>
      <c r="E255" s="15">
        <f>IF(INPUT!E255="","",TEXT(INPUT!E255,"0000000000"))</f>
        <v/>
      </c>
      <c r="F255" s="6">
        <f>IF(E255="","",IF(COUNTIF(INDIRECT("PPI_"&amp;CONFIG!$B$4&amp;"!$A:$A"),VALUE(E255))&gt;0,"IN PPI","NOT IN PPI"))</f>
        <v/>
      </c>
      <c r="G255" s="6">
        <f>IF(F255="","","-")</f>
        <v/>
      </c>
      <c r="H255" s="6">
        <f>IF(INPUT!F255="","",INPUT!F255)</f>
        <v/>
      </c>
      <c r="I255" s="6">
        <f>IF(F255="","","N/A")</f>
        <v/>
      </c>
    </row>
    <row r="256" ht="15" customHeight="1">
      <c r="A256" s="16">
        <f>IF(INPUT!A256="","",INPUT!A256)</f>
        <v/>
      </c>
      <c r="B256" s="16">
        <f>IF(INPUT!B256="","",INPUT!B256)</f>
        <v/>
      </c>
      <c r="C256" s="16">
        <f>IF(INPUT!C256="","",INPUT!C256)</f>
        <v/>
      </c>
      <c r="D256" s="16">
        <f>IF(INPUT!D256="","",INPUT!D256)</f>
        <v/>
      </c>
      <c r="E256" s="17">
        <f>IF(INPUT!E256="","",TEXT(INPUT!E256,"0000000000"))</f>
        <v/>
      </c>
      <c r="F256" s="4">
        <f>IF(E256="","",IF(COUNTIF(INDIRECT("PPI_"&amp;CONFIG!$B$4&amp;"!$A:$A"),VALUE(E256))&gt;0,"IN PPI","NOT IN PPI"))</f>
        <v/>
      </c>
      <c r="G256" s="4">
        <f>IF(F256="","","-")</f>
        <v/>
      </c>
      <c r="H256" s="4">
        <f>IF(INPUT!F256="","",INPUT!F256)</f>
        <v/>
      </c>
      <c r="I256" s="4">
        <f>IF(F256="","","N/A")</f>
        <v/>
      </c>
    </row>
    <row r="257" ht="15" customHeight="1">
      <c r="A257" s="14">
        <f>IF(INPUT!A257="","",INPUT!A257)</f>
        <v/>
      </c>
      <c r="B257" s="14">
        <f>IF(INPUT!B257="","",INPUT!B257)</f>
        <v/>
      </c>
      <c r="C257" s="14">
        <f>IF(INPUT!C257="","",INPUT!C257)</f>
        <v/>
      </c>
      <c r="D257" s="14">
        <f>IF(INPUT!D257="","",INPUT!D257)</f>
        <v/>
      </c>
      <c r="E257" s="15">
        <f>IF(INPUT!E257="","",TEXT(INPUT!E257,"0000000000"))</f>
        <v/>
      </c>
      <c r="F257" s="6">
        <f>IF(E257="","",IF(COUNTIF(INDIRECT("PPI_"&amp;CONFIG!$B$4&amp;"!$A:$A"),VALUE(E257))&gt;0,"IN PPI","NOT IN PPI"))</f>
        <v/>
      </c>
      <c r="G257" s="6">
        <f>IF(F257="","","-")</f>
        <v/>
      </c>
      <c r="H257" s="6">
        <f>IF(INPUT!F257="","",INPUT!F257)</f>
        <v/>
      </c>
      <c r="I257" s="6">
        <f>IF(F257="","","N/A")</f>
        <v/>
      </c>
    </row>
    <row r="258" ht="15" customHeight="1">
      <c r="A258" s="16">
        <f>IF(INPUT!A258="","",INPUT!A258)</f>
        <v/>
      </c>
      <c r="B258" s="16">
        <f>IF(INPUT!B258="","",INPUT!B258)</f>
        <v/>
      </c>
      <c r="C258" s="16">
        <f>IF(INPUT!C258="","",INPUT!C258)</f>
        <v/>
      </c>
      <c r="D258" s="16">
        <f>IF(INPUT!D258="","",INPUT!D258)</f>
        <v/>
      </c>
      <c r="E258" s="17">
        <f>IF(INPUT!E258="","",TEXT(INPUT!E258,"0000000000"))</f>
        <v/>
      </c>
      <c r="F258" s="4">
        <f>IF(E258="","",IF(COUNTIF(INDIRECT("PPI_"&amp;CONFIG!$B$4&amp;"!$A:$A"),VALUE(E258))&gt;0,"IN PPI","NOT IN PPI"))</f>
        <v/>
      </c>
      <c r="G258" s="4">
        <f>IF(F258="","","-")</f>
        <v/>
      </c>
      <c r="H258" s="4">
        <f>IF(INPUT!F258="","",INPUT!F258)</f>
        <v/>
      </c>
      <c r="I258" s="4">
        <f>IF(F258="","","N/A")</f>
        <v/>
      </c>
    </row>
    <row r="259" ht="15" customHeight="1">
      <c r="A259" s="14">
        <f>IF(INPUT!A259="","",INPUT!A259)</f>
        <v/>
      </c>
      <c r="B259" s="14">
        <f>IF(INPUT!B259="","",INPUT!B259)</f>
        <v/>
      </c>
      <c r="C259" s="14">
        <f>IF(INPUT!C259="","",INPUT!C259)</f>
        <v/>
      </c>
      <c r="D259" s="14">
        <f>IF(INPUT!D259="","",INPUT!D259)</f>
        <v/>
      </c>
      <c r="E259" s="15">
        <f>IF(INPUT!E259="","",TEXT(INPUT!E259,"0000000000"))</f>
        <v/>
      </c>
      <c r="F259" s="6">
        <f>IF(E259="","",IF(COUNTIF(INDIRECT("PPI_"&amp;CONFIG!$B$4&amp;"!$A:$A"),VALUE(E259))&gt;0,"IN PPI","NOT IN PPI"))</f>
        <v/>
      </c>
      <c r="G259" s="6">
        <f>IF(F259="","","-")</f>
        <v/>
      </c>
      <c r="H259" s="6">
        <f>IF(INPUT!F259="","",INPUT!F259)</f>
        <v/>
      </c>
      <c r="I259" s="6">
        <f>IF(F259="","","N/A")</f>
        <v/>
      </c>
    </row>
    <row r="260" ht="15" customHeight="1">
      <c r="A260" s="16">
        <f>IF(INPUT!A260="","",INPUT!A260)</f>
        <v/>
      </c>
      <c r="B260" s="16">
        <f>IF(INPUT!B260="","",INPUT!B260)</f>
        <v/>
      </c>
      <c r="C260" s="16">
        <f>IF(INPUT!C260="","",INPUT!C260)</f>
        <v/>
      </c>
      <c r="D260" s="16">
        <f>IF(INPUT!D260="","",INPUT!D260)</f>
        <v/>
      </c>
      <c r="E260" s="17">
        <f>IF(INPUT!E260="","",TEXT(INPUT!E260,"0000000000"))</f>
        <v/>
      </c>
      <c r="F260" s="4">
        <f>IF(E260="","",IF(COUNTIF(INDIRECT("PPI_"&amp;CONFIG!$B$4&amp;"!$A:$A"),VALUE(E260))&gt;0,"IN PPI","NOT IN PPI"))</f>
        <v/>
      </c>
      <c r="G260" s="4">
        <f>IF(F260="","","-")</f>
        <v/>
      </c>
      <c r="H260" s="4">
        <f>IF(INPUT!F260="","",INPUT!F260)</f>
        <v/>
      </c>
      <c r="I260" s="4">
        <f>IF(F260="","","N/A")</f>
        <v/>
      </c>
    </row>
    <row r="261" ht="15" customHeight="1">
      <c r="A261" s="14">
        <f>IF(INPUT!A261="","",INPUT!A261)</f>
        <v/>
      </c>
      <c r="B261" s="14">
        <f>IF(INPUT!B261="","",INPUT!B261)</f>
        <v/>
      </c>
      <c r="C261" s="14">
        <f>IF(INPUT!C261="","",INPUT!C261)</f>
        <v/>
      </c>
      <c r="D261" s="14">
        <f>IF(INPUT!D261="","",INPUT!D261)</f>
        <v/>
      </c>
      <c r="E261" s="15">
        <f>IF(INPUT!E261="","",TEXT(INPUT!E261,"0000000000"))</f>
        <v/>
      </c>
      <c r="F261" s="6">
        <f>IF(E261="","",IF(COUNTIF(INDIRECT("PPI_"&amp;CONFIG!$B$4&amp;"!$A:$A"),VALUE(E261))&gt;0,"IN PPI","NOT IN PPI"))</f>
        <v/>
      </c>
      <c r="G261" s="6">
        <f>IF(F261="","","-")</f>
        <v/>
      </c>
      <c r="H261" s="6">
        <f>IF(INPUT!F261="","",INPUT!F261)</f>
        <v/>
      </c>
      <c r="I261" s="6">
        <f>IF(F261="","","N/A")</f>
        <v/>
      </c>
    </row>
    <row r="262" ht="15" customHeight="1">
      <c r="A262" s="16">
        <f>IF(INPUT!A262="","",INPUT!A262)</f>
        <v/>
      </c>
      <c r="B262" s="16">
        <f>IF(INPUT!B262="","",INPUT!B262)</f>
        <v/>
      </c>
      <c r="C262" s="16">
        <f>IF(INPUT!C262="","",INPUT!C262)</f>
        <v/>
      </c>
      <c r="D262" s="16">
        <f>IF(INPUT!D262="","",INPUT!D262)</f>
        <v/>
      </c>
      <c r="E262" s="17">
        <f>IF(INPUT!E262="","",TEXT(INPUT!E262,"0000000000"))</f>
        <v/>
      </c>
      <c r="F262" s="4">
        <f>IF(E262="","",IF(COUNTIF(INDIRECT("PPI_"&amp;CONFIG!$B$4&amp;"!$A:$A"),VALUE(E262))&gt;0,"IN PPI","NOT IN PPI"))</f>
        <v/>
      </c>
      <c r="G262" s="4">
        <f>IF(F262="","","-")</f>
        <v/>
      </c>
      <c r="H262" s="4">
        <f>IF(INPUT!F262="","",INPUT!F262)</f>
        <v/>
      </c>
      <c r="I262" s="4">
        <f>IF(F262="","","N/A")</f>
        <v/>
      </c>
    </row>
    <row r="263" ht="15" customHeight="1">
      <c r="A263" s="14">
        <f>IF(INPUT!A263="","",INPUT!A263)</f>
        <v/>
      </c>
      <c r="B263" s="14">
        <f>IF(INPUT!B263="","",INPUT!B263)</f>
        <v/>
      </c>
      <c r="C263" s="14">
        <f>IF(INPUT!C263="","",INPUT!C263)</f>
        <v/>
      </c>
      <c r="D263" s="14">
        <f>IF(INPUT!D263="","",INPUT!D263)</f>
        <v/>
      </c>
      <c r="E263" s="15">
        <f>IF(INPUT!E263="","",TEXT(INPUT!E263,"0000000000"))</f>
        <v/>
      </c>
      <c r="F263" s="6">
        <f>IF(E263="","",IF(COUNTIF(INDIRECT("PPI_"&amp;CONFIG!$B$4&amp;"!$A:$A"),VALUE(E263))&gt;0,"IN PPI","NOT IN PPI"))</f>
        <v/>
      </c>
      <c r="G263" s="6">
        <f>IF(F263="","","-")</f>
        <v/>
      </c>
      <c r="H263" s="6">
        <f>IF(INPUT!F263="","",INPUT!F263)</f>
        <v/>
      </c>
      <c r="I263" s="6">
        <f>IF(F263="","","N/A")</f>
        <v/>
      </c>
    </row>
    <row r="264" ht="15" customHeight="1">
      <c r="A264" s="16">
        <f>IF(INPUT!A264="","",INPUT!A264)</f>
        <v/>
      </c>
      <c r="B264" s="16">
        <f>IF(INPUT!B264="","",INPUT!B264)</f>
        <v/>
      </c>
      <c r="C264" s="16">
        <f>IF(INPUT!C264="","",INPUT!C264)</f>
        <v/>
      </c>
      <c r="D264" s="16">
        <f>IF(INPUT!D264="","",INPUT!D264)</f>
        <v/>
      </c>
      <c r="E264" s="17">
        <f>IF(INPUT!E264="","",TEXT(INPUT!E264,"0000000000"))</f>
        <v/>
      </c>
      <c r="F264" s="4">
        <f>IF(E264="","",IF(COUNTIF(INDIRECT("PPI_"&amp;CONFIG!$B$4&amp;"!$A:$A"),VALUE(E264))&gt;0,"IN PPI","NOT IN PPI"))</f>
        <v/>
      </c>
      <c r="G264" s="4">
        <f>IF(F264="","","-")</f>
        <v/>
      </c>
      <c r="H264" s="4">
        <f>IF(INPUT!F264="","",INPUT!F264)</f>
        <v/>
      </c>
      <c r="I264" s="4">
        <f>IF(F264="","","N/A")</f>
        <v/>
      </c>
    </row>
    <row r="265" ht="15" customHeight="1">
      <c r="A265" s="14">
        <f>IF(INPUT!A265="","",INPUT!A265)</f>
        <v/>
      </c>
      <c r="B265" s="14">
        <f>IF(INPUT!B265="","",INPUT!B265)</f>
        <v/>
      </c>
      <c r="C265" s="14">
        <f>IF(INPUT!C265="","",INPUT!C265)</f>
        <v/>
      </c>
      <c r="D265" s="14">
        <f>IF(INPUT!D265="","",INPUT!D265)</f>
        <v/>
      </c>
      <c r="E265" s="15">
        <f>IF(INPUT!E265="","",TEXT(INPUT!E265,"0000000000"))</f>
        <v/>
      </c>
      <c r="F265" s="6">
        <f>IF(E265="","",IF(COUNTIF(INDIRECT("PPI_"&amp;CONFIG!$B$4&amp;"!$A:$A"),VALUE(E265))&gt;0,"IN PPI","NOT IN PPI"))</f>
        <v/>
      </c>
      <c r="G265" s="6">
        <f>IF(F265="","","-")</f>
        <v/>
      </c>
      <c r="H265" s="6">
        <f>IF(INPUT!F265="","",INPUT!F265)</f>
        <v/>
      </c>
      <c r="I265" s="6">
        <f>IF(F265="","","N/A")</f>
        <v/>
      </c>
    </row>
    <row r="266" ht="15" customHeight="1">
      <c r="A266" s="16">
        <f>IF(INPUT!A266="","",INPUT!A266)</f>
        <v/>
      </c>
      <c r="B266" s="16">
        <f>IF(INPUT!B266="","",INPUT!B266)</f>
        <v/>
      </c>
      <c r="C266" s="16">
        <f>IF(INPUT!C266="","",INPUT!C266)</f>
        <v/>
      </c>
      <c r="D266" s="16">
        <f>IF(INPUT!D266="","",INPUT!D266)</f>
        <v/>
      </c>
      <c r="E266" s="17">
        <f>IF(INPUT!E266="","",TEXT(INPUT!E266,"0000000000"))</f>
        <v/>
      </c>
      <c r="F266" s="4">
        <f>IF(E266="","",IF(COUNTIF(INDIRECT("PPI_"&amp;CONFIG!$B$4&amp;"!$A:$A"),VALUE(E266))&gt;0,"IN PPI","NOT IN PPI"))</f>
        <v/>
      </c>
      <c r="G266" s="4">
        <f>IF(F266="","","-")</f>
        <v/>
      </c>
      <c r="H266" s="4">
        <f>IF(INPUT!F266="","",INPUT!F266)</f>
        <v/>
      </c>
      <c r="I266" s="4">
        <f>IF(F266="","","N/A")</f>
        <v/>
      </c>
    </row>
    <row r="267" ht="15" customHeight="1">
      <c r="A267" s="14">
        <f>IF(INPUT!A267="","",INPUT!A267)</f>
        <v/>
      </c>
      <c r="B267" s="14">
        <f>IF(INPUT!B267="","",INPUT!B267)</f>
        <v/>
      </c>
      <c r="C267" s="14">
        <f>IF(INPUT!C267="","",INPUT!C267)</f>
        <v/>
      </c>
      <c r="D267" s="14">
        <f>IF(INPUT!D267="","",INPUT!D267)</f>
        <v/>
      </c>
      <c r="E267" s="15">
        <f>IF(INPUT!E267="","",TEXT(INPUT!E267,"0000000000"))</f>
        <v/>
      </c>
      <c r="F267" s="6">
        <f>IF(E267="","",IF(COUNTIF(INDIRECT("PPI_"&amp;CONFIG!$B$4&amp;"!$A:$A"),VALUE(E267))&gt;0,"IN PPI","NOT IN PPI"))</f>
        <v/>
      </c>
      <c r="G267" s="6">
        <f>IF(F267="","","-")</f>
        <v/>
      </c>
      <c r="H267" s="6">
        <f>IF(INPUT!F267="","",INPUT!F267)</f>
        <v/>
      </c>
      <c r="I267" s="6">
        <f>IF(F267="","","N/A")</f>
        <v/>
      </c>
    </row>
    <row r="268" ht="15" customHeight="1">
      <c r="A268" s="16">
        <f>IF(INPUT!A268="","",INPUT!A268)</f>
        <v/>
      </c>
      <c r="B268" s="16">
        <f>IF(INPUT!B268="","",INPUT!B268)</f>
        <v/>
      </c>
      <c r="C268" s="16">
        <f>IF(INPUT!C268="","",INPUT!C268)</f>
        <v/>
      </c>
      <c r="D268" s="16">
        <f>IF(INPUT!D268="","",INPUT!D268)</f>
        <v/>
      </c>
      <c r="E268" s="17">
        <f>IF(INPUT!E268="","",TEXT(INPUT!E268,"0000000000"))</f>
        <v/>
      </c>
      <c r="F268" s="4">
        <f>IF(E268="","",IF(COUNTIF(INDIRECT("PPI_"&amp;CONFIG!$B$4&amp;"!$A:$A"),VALUE(E268))&gt;0,"IN PPI","NOT IN PPI"))</f>
        <v/>
      </c>
      <c r="G268" s="4">
        <f>IF(F268="","","-")</f>
        <v/>
      </c>
      <c r="H268" s="4">
        <f>IF(INPUT!F268="","",INPUT!F268)</f>
        <v/>
      </c>
      <c r="I268" s="4">
        <f>IF(F268="","","N/A")</f>
        <v/>
      </c>
    </row>
    <row r="269" ht="15" customHeight="1">
      <c r="A269" s="14">
        <f>IF(INPUT!A269="","",INPUT!A269)</f>
        <v/>
      </c>
      <c r="B269" s="14">
        <f>IF(INPUT!B269="","",INPUT!B269)</f>
        <v/>
      </c>
      <c r="C269" s="14">
        <f>IF(INPUT!C269="","",INPUT!C269)</f>
        <v/>
      </c>
      <c r="D269" s="14">
        <f>IF(INPUT!D269="","",INPUT!D269)</f>
        <v/>
      </c>
      <c r="E269" s="15">
        <f>IF(INPUT!E269="","",TEXT(INPUT!E269,"0000000000"))</f>
        <v/>
      </c>
      <c r="F269" s="6">
        <f>IF(E269="","",IF(COUNTIF(INDIRECT("PPI_"&amp;CONFIG!$B$4&amp;"!$A:$A"),VALUE(E269))&gt;0,"IN PPI","NOT IN PPI"))</f>
        <v/>
      </c>
      <c r="G269" s="6">
        <f>IF(F269="","","-")</f>
        <v/>
      </c>
      <c r="H269" s="6">
        <f>IF(INPUT!F269="","",INPUT!F269)</f>
        <v/>
      </c>
      <c r="I269" s="6">
        <f>IF(F269="","","N/A")</f>
        <v/>
      </c>
    </row>
    <row r="270" ht="15" customHeight="1">
      <c r="A270" s="16">
        <f>IF(INPUT!A270="","",INPUT!A270)</f>
        <v/>
      </c>
      <c r="B270" s="16">
        <f>IF(INPUT!B270="","",INPUT!B270)</f>
        <v/>
      </c>
      <c r="C270" s="16">
        <f>IF(INPUT!C270="","",INPUT!C270)</f>
        <v/>
      </c>
      <c r="D270" s="16">
        <f>IF(INPUT!D270="","",INPUT!D270)</f>
        <v/>
      </c>
      <c r="E270" s="17">
        <f>IF(INPUT!E270="","",TEXT(INPUT!E270,"0000000000"))</f>
        <v/>
      </c>
      <c r="F270" s="4">
        <f>IF(E270="","",IF(COUNTIF(INDIRECT("PPI_"&amp;CONFIG!$B$4&amp;"!$A:$A"),VALUE(E270))&gt;0,"IN PPI","NOT IN PPI"))</f>
        <v/>
      </c>
      <c r="G270" s="4">
        <f>IF(F270="","","-")</f>
        <v/>
      </c>
      <c r="H270" s="4">
        <f>IF(INPUT!F270="","",INPUT!F270)</f>
        <v/>
      </c>
      <c r="I270" s="4">
        <f>IF(F270="","","N/A")</f>
        <v/>
      </c>
    </row>
    <row r="271" ht="15" customHeight="1">
      <c r="A271" s="14">
        <f>IF(INPUT!A271="","",INPUT!A271)</f>
        <v/>
      </c>
      <c r="B271" s="14">
        <f>IF(INPUT!B271="","",INPUT!B271)</f>
        <v/>
      </c>
      <c r="C271" s="14">
        <f>IF(INPUT!C271="","",INPUT!C271)</f>
        <v/>
      </c>
      <c r="D271" s="14">
        <f>IF(INPUT!D271="","",INPUT!D271)</f>
        <v/>
      </c>
      <c r="E271" s="15">
        <f>IF(INPUT!E271="","",TEXT(INPUT!E271,"0000000000"))</f>
        <v/>
      </c>
      <c r="F271" s="6">
        <f>IF(E271="","",IF(COUNTIF(INDIRECT("PPI_"&amp;CONFIG!$B$4&amp;"!$A:$A"),VALUE(E271))&gt;0,"IN PPI","NOT IN PPI"))</f>
        <v/>
      </c>
      <c r="G271" s="6">
        <f>IF(F271="","","-")</f>
        <v/>
      </c>
      <c r="H271" s="6">
        <f>IF(INPUT!F271="","",INPUT!F271)</f>
        <v/>
      </c>
      <c r="I271" s="6">
        <f>IF(F271="","","N/A")</f>
        <v/>
      </c>
    </row>
    <row r="272" ht="15" customHeight="1">
      <c r="A272" s="16">
        <f>IF(INPUT!A272="","",INPUT!A272)</f>
        <v/>
      </c>
      <c r="B272" s="16">
        <f>IF(INPUT!B272="","",INPUT!B272)</f>
        <v/>
      </c>
      <c r="C272" s="16">
        <f>IF(INPUT!C272="","",INPUT!C272)</f>
        <v/>
      </c>
      <c r="D272" s="16">
        <f>IF(INPUT!D272="","",INPUT!D272)</f>
        <v/>
      </c>
      <c r="E272" s="17">
        <f>IF(INPUT!E272="","",TEXT(INPUT!E272,"0000000000"))</f>
        <v/>
      </c>
      <c r="F272" s="4">
        <f>IF(E272="","",IF(COUNTIF(INDIRECT("PPI_"&amp;CONFIG!$B$4&amp;"!$A:$A"),VALUE(E272))&gt;0,"IN PPI","NOT IN PPI"))</f>
        <v/>
      </c>
      <c r="G272" s="4">
        <f>IF(F272="","","-")</f>
        <v/>
      </c>
      <c r="H272" s="4">
        <f>IF(INPUT!F272="","",INPUT!F272)</f>
        <v/>
      </c>
      <c r="I272" s="4">
        <f>IF(F272="","","N/A")</f>
        <v/>
      </c>
    </row>
    <row r="273" ht="15" customHeight="1">
      <c r="A273" s="14">
        <f>IF(INPUT!A273="","",INPUT!A273)</f>
        <v/>
      </c>
      <c r="B273" s="14">
        <f>IF(INPUT!B273="","",INPUT!B273)</f>
        <v/>
      </c>
      <c r="C273" s="14">
        <f>IF(INPUT!C273="","",INPUT!C273)</f>
        <v/>
      </c>
      <c r="D273" s="14">
        <f>IF(INPUT!D273="","",INPUT!D273)</f>
        <v/>
      </c>
      <c r="E273" s="15">
        <f>IF(INPUT!E273="","",TEXT(INPUT!E273,"0000000000"))</f>
        <v/>
      </c>
      <c r="F273" s="6">
        <f>IF(E273="","",IF(COUNTIF(INDIRECT("PPI_"&amp;CONFIG!$B$4&amp;"!$A:$A"),VALUE(E273))&gt;0,"IN PPI","NOT IN PPI"))</f>
        <v/>
      </c>
      <c r="G273" s="6">
        <f>IF(F273="","","-")</f>
        <v/>
      </c>
      <c r="H273" s="6">
        <f>IF(INPUT!F273="","",INPUT!F273)</f>
        <v/>
      </c>
      <c r="I273" s="6">
        <f>IF(F273="","","N/A")</f>
        <v/>
      </c>
    </row>
    <row r="274" ht="15" customHeight="1">
      <c r="A274" s="16">
        <f>IF(INPUT!A274="","",INPUT!A274)</f>
        <v/>
      </c>
      <c r="B274" s="16">
        <f>IF(INPUT!B274="","",INPUT!B274)</f>
        <v/>
      </c>
      <c r="C274" s="16">
        <f>IF(INPUT!C274="","",INPUT!C274)</f>
        <v/>
      </c>
      <c r="D274" s="16">
        <f>IF(INPUT!D274="","",INPUT!D274)</f>
        <v/>
      </c>
      <c r="E274" s="17">
        <f>IF(INPUT!E274="","",TEXT(INPUT!E274,"0000000000"))</f>
        <v/>
      </c>
      <c r="F274" s="4">
        <f>IF(E274="","",IF(COUNTIF(INDIRECT("PPI_"&amp;CONFIG!$B$4&amp;"!$A:$A"),VALUE(E274))&gt;0,"IN PPI","NOT IN PPI"))</f>
        <v/>
      </c>
      <c r="G274" s="4">
        <f>IF(F274="","","-")</f>
        <v/>
      </c>
      <c r="H274" s="4">
        <f>IF(INPUT!F274="","",INPUT!F274)</f>
        <v/>
      </c>
      <c r="I274" s="4">
        <f>IF(F274="","","N/A")</f>
        <v/>
      </c>
    </row>
    <row r="275" ht="15" customHeight="1">
      <c r="A275" s="14">
        <f>IF(INPUT!A275="","",INPUT!A275)</f>
        <v/>
      </c>
      <c r="B275" s="14">
        <f>IF(INPUT!B275="","",INPUT!B275)</f>
        <v/>
      </c>
      <c r="C275" s="14">
        <f>IF(INPUT!C275="","",INPUT!C275)</f>
        <v/>
      </c>
      <c r="D275" s="14">
        <f>IF(INPUT!D275="","",INPUT!D275)</f>
        <v/>
      </c>
      <c r="E275" s="15">
        <f>IF(INPUT!E275="","",TEXT(INPUT!E275,"0000000000"))</f>
        <v/>
      </c>
      <c r="F275" s="6">
        <f>IF(E275="","",IF(COUNTIF(INDIRECT("PPI_"&amp;CONFIG!$B$4&amp;"!$A:$A"),VALUE(E275))&gt;0,"IN PPI","NOT IN PPI"))</f>
        <v/>
      </c>
      <c r="G275" s="6">
        <f>IF(F275="","","-")</f>
        <v/>
      </c>
      <c r="H275" s="6">
        <f>IF(INPUT!F275="","",INPUT!F275)</f>
        <v/>
      </c>
      <c r="I275" s="6">
        <f>IF(F275="","","N/A")</f>
        <v/>
      </c>
    </row>
    <row r="276" ht="15" customHeight="1">
      <c r="A276" s="16">
        <f>IF(INPUT!A276="","",INPUT!A276)</f>
        <v/>
      </c>
      <c r="B276" s="16">
        <f>IF(INPUT!B276="","",INPUT!B276)</f>
        <v/>
      </c>
      <c r="C276" s="16">
        <f>IF(INPUT!C276="","",INPUT!C276)</f>
        <v/>
      </c>
      <c r="D276" s="16">
        <f>IF(INPUT!D276="","",INPUT!D276)</f>
        <v/>
      </c>
      <c r="E276" s="17">
        <f>IF(INPUT!E276="","",TEXT(INPUT!E276,"0000000000"))</f>
        <v/>
      </c>
      <c r="F276" s="4">
        <f>IF(E276="","",IF(COUNTIF(INDIRECT("PPI_"&amp;CONFIG!$B$4&amp;"!$A:$A"),VALUE(E276))&gt;0,"IN PPI","NOT IN PPI"))</f>
        <v/>
      </c>
      <c r="G276" s="4">
        <f>IF(F276="","","-")</f>
        <v/>
      </c>
      <c r="H276" s="4">
        <f>IF(INPUT!F276="","",INPUT!F276)</f>
        <v/>
      </c>
      <c r="I276" s="4">
        <f>IF(F276="","","N/A")</f>
        <v/>
      </c>
    </row>
    <row r="277" ht="15" customHeight="1">
      <c r="A277" s="14">
        <f>IF(INPUT!A277="","",INPUT!A277)</f>
        <v/>
      </c>
      <c r="B277" s="14">
        <f>IF(INPUT!B277="","",INPUT!B277)</f>
        <v/>
      </c>
      <c r="C277" s="14">
        <f>IF(INPUT!C277="","",INPUT!C277)</f>
        <v/>
      </c>
      <c r="D277" s="14">
        <f>IF(INPUT!D277="","",INPUT!D277)</f>
        <v/>
      </c>
      <c r="E277" s="15">
        <f>IF(INPUT!E277="","",TEXT(INPUT!E277,"0000000000"))</f>
        <v/>
      </c>
      <c r="F277" s="6">
        <f>IF(E277="","",IF(COUNTIF(INDIRECT("PPI_"&amp;CONFIG!$B$4&amp;"!$A:$A"),VALUE(E277))&gt;0,"IN PPI","NOT IN PPI"))</f>
        <v/>
      </c>
      <c r="G277" s="6">
        <f>IF(F277="","","-")</f>
        <v/>
      </c>
      <c r="H277" s="6">
        <f>IF(INPUT!F277="","",INPUT!F277)</f>
        <v/>
      </c>
      <c r="I277" s="6">
        <f>IF(F277="","","N/A")</f>
        <v/>
      </c>
    </row>
    <row r="278" ht="15" customHeight="1">
      <c r="A278" s="16">
        <f>IF(INPUT!A278="","",INPUT!A278)</f>
        <v/>
      </c>
      <c r="B278" s="16">
        <f>IF(INPUT!B278="","",INPUT!B278)</f>
        <v/>
      </c>
      <c r="C278" s="16">
        <f>IF(INPUT!C278="","",INPUT!C278)</f>
        <v/>
      </c>
      <c r="D278" s="16">
        <f>IF(INPUT!D278="","",INPUT!D278)</f>
        <v/>
      </c>
      <c r="E278" s="17">
        <f>IF(INPUT!E278="","",TEXT(INPUT!E278,"0000000000"))</f>
        <v/>
      </c>
      <c r="F278" s="4">
        <f>IF(E278="","",IF(COUNTIF(INDIRECT("PPI_"&amp;CONFIG!$B$4&amp;"!$A:$A"),VALUE(E278))&gt;0,"IN PPI","NOT IN PPI"))</f>
        <v/>
      </c>
      <c r="G278" s="4">
        <f>IF(F278="","","-")</f>
        <v/>
      </c>
      <c r="H278" s="4">
        <f>IF(INPUT!F278="","",INPUT!F278)</f>
        <v/>
      </c>
      <c r="I278" s="4">
        <f>IF(F278="","","N/A")</f>
        <v/>
      </c>
    </row>
    <row r="279" ht="15" customHeight="1">
      <c r="A279" s="14">
        <f>IF(INPUT!A279="","",INPUT!A279)</f>
        <v/>
      </c>
      <c r="B279" s="14">
        <f>IF(INPUT!B279="","",INPUT!B279)</f>
        <v/>
      </c>
      <c r="C279" s="14">
        <f>IF(INPUT!C279="","",INPUT!C279)</f>
        <v/>
      </c>
      <c r="D279" s="14">
        <f>IF(INPUT!D279="","",INPUT!D279)</f>
        <v/>
      </c>
      <c r="E279" s="15">
        <f>IF(INPUT!E279="","",TEXT(INPUT!E279,"0000000000"))</f>
        <v/>
      </c>
      <c r="F279" s="6">
        <f>IF(E279="","",IF(COUNTIF(INDIRECT("PPI_"&amp;CONFIG!$B$4&amp;"!$A:$A"),VALUE(E279))&gt;0,"IN PPI","NOT IN PPI"))</f>
        <v/>
      </c>
      <c r="G279" s="6">
        <f>IF(F279="","","-")</f>
        <v/>
      </c>
      <c r="H279" s="6">
        <f>IF(INPUT!F279="","",INPUT!F279)</f>
        <v/>
      </c>
      <c r="I279" s="6">
        <f>IF(F279="","","N/A")</f>
        <v/>
      </c>
    </row>
    <row r="280" ht="15" customHeight="1">
      <c r="A280" s="16">
        <f>IF(INPUT!A280="","",INPUT!A280)</f>
        <v/>
      </c>
      <c r="B280" s="16">
        <f>IF(INPUT!B280="","",INPUT!B280)</f>
        <v/>
      </c>
      <c r="C280" s="16">
        <f>IF(INPUT!C280="","",INPUT!C280)</f>
        <v/>
      </c>
      <c r="D280" s="16">
        <f>IF(INPUT!D280="","",INPUT!D280)</f>
        <v/>
      </c>
      <c r="E280" s="17">
        <f>IF(INPUT!E280="","",TEXT(INPUT!E280,"0000000000"))</f>
        <v/>
      </c>
      <c r="F280" s="4">
        <f>IF(E280="","",IF(COUNTIF(INDIRECT("PPI_"&amp;CONFIG!$B$4&amp;"!$A:$A"),VALUE(E280))&gt;0,"IN PPI","NOT IN PPI"))</f>
        <v/>
      </c>
      <c r="G280" s="4">
        <f>IF(F280="","","-")</f>
        <v/>
      </c>
      <c r="H280" s="4">
        <f>IF(INPUT!F280="","",INPUT!F280)</f>
        <v/>
      </c>
      <c r="I280" s="4">
        <f>IF(F280="","","N/A")</f>
        <v/>
      </c>
    </row>
    <row r="281" ht="15" customHeight="1">
      <c r="A281" s="14">
        <f>IF(INPUT!A281="","",INPUT!A281)</f>
        <v/>
      </c>
      <c r="B281" s="14">
        <f>IF(INPUT!B281="","",INPUT!B281)</f>
        <v/>
      </c>
      <c r="C281" s="14">
        <f>IF(INPUT!C281="","",INPUT!C281)</f>
        <v/>
      </c>
      <c r="D281" s="14">
        <f>IF(INPUT!D281="","",INPUT!D281)</f>
        <v/>
      </c>
      <c r="E281" s="15">
        <f>IF(INPUT!E281="","",TEXT(INPUT!E281,"0000000000"))</f>
        <v/>
      </c>
      <c r="F281" s="6">
        <f>IF(E281="","",IF(COUNTIF(INDIRECT("PPI_"&amp;CONFIG!$B$4&amp;"!$A:$A"),VALUE(E281))&gt;0,"IN PPI","NOT IN PPI"))</f>
        <v/>
      </c>
      <c r="G281" s="6">
        <f>IF(F281="","","-")</f>
        <v/>
      </c>
      <c r="H281" s="6">
        <f>IF(INPUT!F281="","",INPUT!F281)</f>
        <v/>
      </c>
      <c r="I281" s="6">
        <f>IF(F281="","","N/A")</f>
        <v/>
      </c>
    </row>
    <row r="282" ht="15" customHeight="1">
      <c r="A282" s="16">
        <f>IF(INPUT!A282="","",INPUT!A282)</f>
        <v/>
      </c>
      <c r="B282" s="16">
        <f>IF(INPUT!B282="","",INPUT!B282)</f>
        <v/>
      </c>
      <c r="C282" s="16">
        <f>IF(INPUT!C282="","",INPUT!C282)</f>
        <v/>
      </c>
      <c r="D282" s="16">
        <f>IF(INPUT!D282="","",INPUT!D282)</f>
        <v/>
      </c>
      <c r="E282" s="17">
        <f>IF(INPUT!E282="","",TEXT(INPUT!E282,"0000000000"))</f>
        <v/>
      </c>
      <c r="F282" s="4">
        <f>IF(E282="","",IF(COUNTIF(INDIRECT("PPI_"&amp;CONFIG!$B$4&amp;"!$A:$A"),VALUE(E282))&gt;0,"IN PPI","NOT IN PPI"))</f>
        <v/>
      </c>
      <c r="G282" s="4">
        <f>IF(F282="","","-")</f>
        <v/>
      </c>
      <c r="H282" s="4">
        <f>IF(INPUT!F282="","",INPUT!F282)</f>
        <v/>
      </c>
      <c r="I282" s="4">
        <f>IF(F282="","","N/A")</f>
        <v/>
      </c>
    </row>
    <row r="283" ht="15" customHeight="1">
      <c r="A283" s="14">
        <f>IF(INPUT!A283="","",INPUT!A283)</f>
        <v/>
      </c>
      <c r="B283" s="14">
        <f>IF(INPUT!B283="","",INPUT!B283)</f>
        <v/>
      </c>
      <c r="C283" s="14">
        <f>IF(INPUT!C283="","",INPUT!C283)</f>
        <v/>
      </c>
      <c r="D283" s="14">
        <f>IF(INPUT!D283="","",INPUT!D283)</f>
        <v/>
      </c>
      <c r="E283" s="15">
        <f>IF(INPUT!E283="","",TEXT(INPUT!E283,"0000000000"))</f>
        <v/>
      </c>
      <c r="F283" s="6">
        <f>IF(E283="","",IF(COUNTIF(INDIRECT("PPI_"&amp;CONFIG!$B$4&amp;"!$A:$A"),VALUE(E283))&gt;0,"IN PPI","NOT IN PPI"))</f>
        <v/>
      </c>
      <c r="G283" s="6">
        <f>IF(F283="","","-")</f>
        <v/>
      </c>
      <c r="H283" s="6">
        <f>IF(INPUT!F283="","",INPUT!F283)</f>
        <v/>
      </c>
      <c r="I283" s="6">
        <f>IF(F283="","","N/A")</f>
        <v/>
      </c>
    </row>
    <row r="284" ht="15" customHeight="1">
      <c r="A284" s="16">
        <f>IF(INPUT!A284="","",INPUT!A284)</f>
        <v/>
      </c>
      <c r="B284" s="16">
        <f>IF(INPUT!B284="","",INPUT!B284)</f>
        <v/>
      </c>
      <c r="C284" s="16">
        <f>IF(INPUT!C284="","",INPUT!C284)</f>
        <v/>
      </c>
      <c r="D284" s="16">
        <f>IF(INPUT!D284="","",INPUT!D284)</f>
        <v/>
      </c>
      <c r="E284" s="17">
        <f>IF(INPUT!E284="","",TEXT(INPUT!E284,"0000000000"))</f>
        <v/>
      </c>
      <c r="F284" s="4">
        <f>IF(E284="","",IF(COUNTIF(INDIRECT("PPI_"&amp;CONFIG!$B$4&amp;"!$A:$A"),VALUE(E284))&gt;0,"IN PPI","NOT IN PPI"))</f>
        <v/>
      </c>
      <c r="G284" s="4">
        <f>IF(F284="","","-")</f>
        <v/>
      </c>
      <c r="H284" s="4">
        <f>IF(INPUT!F284="","",INPUT!F284)</f>
        <v/>
      </c>
      <c r="I284" s="4">
        <f>IF(F284="","","N/A")</f>
        <v/>
      </c>
    </row>
    <row r="285" ht="15" customHeight="1">
      <c r="A285" s="14">
        <f>IF(INPUT!A285="","",INPUT!A285)</f>
        <v/>
      </c>
      <c r="B285" s="14">
        <f>IF(INPUT!B285="","",INPUT!B285)</f>
        <v/>
      </c>
      <c r="C285" s="14">
        <f>IF(INPUT!C285="","",INPUT!C285)</f>
        <v/>
      </c>
      <c r="D285" s="14">
        <f>IF(INPUT!D285="","",INPUT!D285)</f>
        <v/>
      </c>
      <c r="E285" s="15">
        <f>IF(INPUT!E285="","",TEXT(INPUT!E285,"0000000000"))</f>
        <v/>
      </c>
      <c r="F285" s="6">
        <f>IF(E285="","",IF(COUNTIF(INDIRECT("PPI_"&amp;CONFIG!$B$4&amp;"!$A:$A"),VALUE(E285))&gt;0,"IN PPI","NOT IN PPI"))</f>
        <v/>
      </c>
      <c r="G285" s="6">
        <f>IF(F285="","","-")</f>
        <v/>
      </c>
      <c r="H285" s="6">
        <f>IF(INPUT!F285="","",INPUT!F285)</f>
        <v/>
      </c>
      <c r="I285" s="6">
        <f>IF(F285="","","N/A")</f>
        <v/>
      </c>
    </row>
    <row r="286" ht="15" customHeight="1">
      <c r="A286" s="16">
        <f>IF(INPUT!A286="","",INPUT!A286)</f>
        <v/>
      </c>
      <c r="B286" s="16">
        <f>IF(INPUT!B286="","",INPUT!B286)</f>
        <v/>
      </c>
      <c r="C286" s="16">
        <f>IF(INPUT!C286="","",INPUT!C286)</f>
        <v/>
      </c>
      <c r="D286" s="16">
        <f>IF(INPUT!D286="","",INPUT!D286)</f>
        <v/>
      </c>
      <c r="E286" s="17">
        <f>IF(INPUT!E286="","",TEXT(INPUT!E286,"0000000000"))</f>
        <v/>
      </c>
      <c r="F286" s="4">
        <f>IF(E286="","",IF(COUNTIF(INDIRECT("PPI_"&amp;CONFIG!$B$4&amp;"!$A:$A"),VALUE(E286))&gt;0,"IN PPI","NOT IN PPI"))</f>
        <v/>
      </c>
      <c r="G286" s="4">
        <f>IF(F286="","","-")</f>
        <v/>
      </c>
      <c r="H286" s="4">
        <f>IF(INPUT!F286="","",INPUT!F286)</f>
        <v/>
      </c>
      <c r="I286" s="4">
        <f>IF(F286="","","N/A")</f>
        <v/>
      </c>
    </row>
    <row r="287" ht="15" customHeight="1">
      <c r="A287" s="14">
        <f>IF(INPUT!A287="","",INPUT!A287)</f>
        <v/>
      </c>
      <c r="B287" s="14">
        <f>IF(INPUT!B287="","",INPUT!B287)</f>
        <v/>
      </c>
      <c r="C287" s="14">
        <f>IF(INPUT!C287="","",INPUT!C287)</f>
        <v/>
      </c>
      <c r="D287" s="14">
        <f>IF(INPUT!D287="","",INPUT!D287)</f>
        <v/>
      </c>
      <c r="E287" s="15">
        <f>IF(INPUT!E287="","",TEXT(INPUT!E287,"0000000000"))</f>
        <v/>
      </c>
      <c r="F287" s="6">
        <f>IF(E287="","",IF(COUNTIF(INDIRECT("PPI_"&amp;CONFIG!$B$4&amp;"!$A:$A"),VALUE(E287))&gt;0,"IN PPI","NOT IN PPI"))</f>
        <v/>
      </c>
      <c r="G287" s="6">
        <f>IF(F287="","","-")</f>
        <v/>
      </c>
      <c r="H287" s="6">
        <f>IF(INPUT!F287="","",INPUT!F287)</f>
        <v/>
      </c>
      <c r="I287" s="6">
        <f>IF(F287="","","N/A")</f>
        <v/>
      </c>
    </row>
    <row r="288" ht="15" customHeight="1">
      <c r="A288" s="16">
        <f>IF(INPUT!A288="","",INPUT!A288)</f>
        <v/>
      </c>
      <c r="B288" s="16">
        <f>IF(INPUT!B288="","",INPUT!B288)</f>
        <v/>
      </c>
      <c r="C288" s="16">
        <f>IF(INPUT!C288="","",INPUT!C288)</f>
        <v/>
      </c>
      <c r="D288" s="16">
        <f>IF(INPUT!D288="","",INPUT!D288)</f>
        <v/>
      </c>
      <c r="E288" s="17">
        <f>IF(INPUT!E288="","",TEXT(INPUT!E288,"0000000000"))</f>
        <v/>
      </c>
      <c r="F288" s="4">
        <f>IF(E288="","",IF(COUNTIF(INDIRECT("PPI_"&amp;CONFIG!$B$4&amp;"!$A:$A"),VALUE(E288))&gt;0,"IN PPI","NOT IN PPI"))</f>
        <v/>
      </c>
      <c r="G288" s="4">
        <f>IF(F288="","","-")</f>
        <v/>
      </c>
      <c r="H288" s="4">
        <f>IF(INPUT!F288="","",INPUT!F288)</f>
        <v/>
      </c>
      <c r="I288" s="4">
        <f>IF(F288="","","N/A")</f>
        <v/>
      </c>
    </row>
    <row r="289" ht="15" customHeight="1">
      <c r="A289" s="14">
        <f>IF(INPUT!A289="","",INPUT!A289)</f>
        <v/>
      </c>
      <c r="B289" s="14">
        <f>IF(INPUT!B289="","",INPUT!B289)</f>
        <v/>
      </c>
      <c r="C289" s="14">
        <f>IF(INPUT!C289="","",INPUT!C289)</f>
        <v/>
      </c>
      <c r="D289" s="14">
        <f>IF(INPUT!D289="","",INPUT!D289)</f>
        <v/>
      </c>
      <c r="E289" s="15">
        <f>IF(INPUT!E289="","",TEXT(INPUT!E289,"0000000000"))</f>
        <v/>
      </c>
      <c r="F289" s="6">
        <f>IF(E289="","",IF(COUNTIF(INDIRECT("PPI_"&amp;CONFIG!$B$4&amp;"!$A:$A"),VALUE(E289))&gt;0,"IN PPI","NOT IN PPI"))</f>
        <v/>
      </c>
      <c r="G289" s="6">
        <f>IF(F289="","","-")</f>
        <v/>
      </c>
      <c r="H289" s="6">
        <f>IF(INPUT!F289="","",INPUT!F289)</f>
        <v/>
      </c>
      <c r="I289" s="6">
        <f>IF(F289="","","N/A")</f>
        <v/>
      </c>
    </row>
    <row r="290" ht="15" customHeight="1">
      <c r="A290" s="16">
        <f>IF(INPUT!A290="","",INPUT!A290)</f>
        <v/>
      </c>
      <c r="B290" s="16">
        <f>IF(INPUT!B290="","",INPUT!B290)</f>
        <v/>
      </c>
      <c r="C290" s="16">
        <f>IF(INPUT!C290="","",INPUT!C290)</f>
        <v/>
      </c>
      <c r="D290" s="16">
        <f>IF(INPUT!D290="","",INPUT!D290)</f>
        <v/>
      </c>
      <c r="E290" s="17">
        <f>IF(INPUT!E290="","",TEXT(INPUT!E290,"0000000000"))</f>
        <v/>
      </c>
      <c r="F290" s="4">
        <f>IF(E290="","",IF(COUNTIF(INDIRECT("PPI_"&amp;CONFIG!$B$4&amp;"!$A:$A"),VALUE(E290))&gt;0,"IN PPI","NOT IN PPI"))</f>
        <v/>
      </c>
      <c r="G290" s="4">
        <f>IF(F290="","","-")</f>
        <v/>
      </c>
      <c r="H290" s="4">
        <f>IF(INPUT!F290="","",INPUT!F290)</f>
        <v/>
      </c>
      <c r="I290" s="4">
        <f>IF(F290="","","N/A")</f>
        <v/>
      </c>
    </row>
    <row r="291" ht="15" customHeight="1">
      <c r="A291" s="14">
        <f>IF(INPUT!A291="","",INPUT!A291)</f>
        <v/>
      </c>
      <c r="B291" s="14">
        <f>IF(INPUT!B291="","",INPUT!B291)</f>
        <v/>
      </c>
      <c r="C291" s="14">
        <f>IF(INPUT!C291="","",INPUT!C291)</f>
        <v/>
      </c>
      <c r="D291" s="14">
        <f>IF(INPUT!D291="","",INPUT!D291)</f>
        <v/>
      </c>
      <c r="E291" s="15">
        <f>IF(INPUT!E291="","",TEXT(INPUT!E291,"0000000000"))</f>
        <v/>
      </c>
      <c r="F291" s="6">
        <f>IF(E291="","",IF(COUNTIF(INDIRECT("PPI_"&amp;CONFIG!$B$4&amp;"!$A:$A"),VALUE(E291))&gt;0,"IN PPI","NOT IN PPI"))</f>
        <v/>
      </c>
      <c r="G291" s="6">
        <f>IF(F291="","","-")</f>
        <v/>
      </c>
      <c r="H291" s="6">
        <f>IF(INPUT!F291="","",INPUT!F291)</f>
        <v/>
      </c>
      <c r="I291" s="6">
        <f>IF(F291="","","N/A")</f>
        <v/>
      </c>
    </row>
    <row r="292" ht="15" customHeight="1">
      <c r="A292" s="16">
        <f>IF(INPUT!A292="","",INPUT!A292)</f>
        <v/>
      </c>
      <c r="B292" s="16">
        <f>IF(INPUT!B292="","",INPUT!B292)</f>
        <v/>
      </c>
      <c r="C292" s="16">
        <f>IF(INPUT!C292="","",INPUT!C292)</f>
        <v/>
      </c>
      <c r="D292" s="16">
        <f>IF(INPUT!D292="","",INPUT!D292)</f>
        <v/>
      </c>
      <c r="E292" s="17">
        <f>IF(INPUT!E292="","",TEXT(INPUT!E292,"0000000000"))</f>
        <v/>
      </c>
      <c r="F292" s="4">
        <f>IF(E292="","",IF(COUNTIF(INDIRECT("PPI_"&amp;CONFIG!$B$4&amp;"!$A:$A"),VALUE(E292))&gt;0,"IN PPI","NOT IN PPI"))</f>
        <v/>
      </c>
      <c r="G292" s="4">
        <f>IF(F292="","","-")</f>
        <v/>
      </c>
      <c r="H292" s="4">
        <f>IF(INPUT!F292="","",INPUT!F292)</f>
        <v/>
      </c>
      <c r="I292" s="4">
        <f>IF(F292="","","N/A")</f>
        <v/>
      </c>
    </row>
    <row r="293" ht="15" customHeight="1">
      <c r="A293" s="14">
        <f>IF(INPUT!A293="","",INPUT!A293)</f>
        <v/>
      </c>
      <c r="B293" s="14">
        <f>IF(INPUT!B293="","",INPUT!B293)</f>
        <v/>
      </c>
      <c r="C293" s="14">
        <f>IF(INPUT!C293="","",INPUT!C293)</f>
        <v/>
      </c>
      <c r="D293" s="14">
        <f>IF(INPUT!D293="","",INPUT!D293)</f>
        <v/>
      </c>
      <c r="E293" s="15">
        <f>IF(INPUT!E293="","",TEXT(INPUT!E293,"0000000000"))</f>
        <v/>
      </c>
      <c r="F293" s="6">
        <f>IF(E293="","",IF(COUNTIF(INDIRECT("PPI_"&amp;CONFIG!$B$4&amp;"!$A:$A"),VALUE(E293))&gt;0,"IN PPI","NOT IN PPI"))</f>
        <v/>
      </c>
      <c r="G293" s="6">
        <f>IF(F293="","","-")</f>
        <v/>
      </c>
      <c r="H293" s="6">
        <f>IF(INPUT!F293="","",INPUT!F293)</f>
        <v/>
      </c>
      <c r="I293" s="6">
        <f>IF(F293="","","N/A")</f>
        <v/>
      </c>
    </row>
    <row r="294" ht="15" customHeight="1">
      <c r="A294" s="16">
        <f>IF(INPUT!A294="","",INPUT!A294)</f>
        <v/>
      </c>
      <c r="B294" s="16">
        <f>IF(INPUT!B294="","",INPUT!B294)</f>
        <v/>
      </c>
      <c r="C294" s="16">
        <f>IF(INPUT!C294="","",INPUT!C294)</f>
        <v/>
      </c>
      <c r="D294" s="16">
        <f>IF(INPUT!D294="","",INPUT!D294)</f>
        <v/>
      </c>
      <c r="E294" s="17">
        <f>IF(INPUT!E294="","",TEXT(INPUT!E294,"0000000000"))</f>
        <v/>
      </c>
      <c r="F294" s="4">
        <f>IF(E294="","",IF(COUNTIF(INDIRECT("PPI_"&amp;CONFIG!$B$4&amp;"!$A:$A"),VALUE(E294))&gt;0,"IN PPI","NOT IN PPI"))</f>
        <v/>
      </c>
      <c r="G294" s="4">
        <f>IF(F294="","","-")</f>
        <v/>
      </c>
      <c r="H294" s="4">
        <f>IF(INPUT!F294="","",INPUT!F294)</f>
        <v/>
      </c>
      <c r="I294" s="4">
        <f>IF(F294="","","N/A")</f>
        <v/>
      </c>
    </row>
    <row r="295" ht="15" customHeight="1">
      <c r="A295" s="14">
        <f>IF(INPUT!A295="","",INPUT!A295)</f>
        <v/>
      </c>
      <c r="B295" s="14">
        <f>IF(INPUT!B295="","",INPUT!B295)</f>
        <v/>
      </c>
      <c r="C295" s="14">
        <f>IF(INPUT!C295="","",INPUT!C295)</f>
        <v/>
      </c>
      <c r="D295" s="14">
        <f>IF(INPUT!D295="","",INPUT!D295)</f>
        <v/>
      </c>
      <c r="E295" s="15">
        <f>IF(INPUT!E295="","",TEXT(INPUT!E295,"0000000000"))</f>
        <v/>
      </c>
      <c r="F295" s="6">
        <f>IF(E295="","",IF(COUNTIF(INDIRECT("PPI_"&amp;CONFIG!$B$4&amp;"!$A:$A"),VALUE(E295))&gt;0,"IN PPI","NOT IN PPI"))</f>
        <v/>
      </c>
      <c r="G295" s="6">
        <f>IF(F295="","","-")</f>
        <v/>
      </c>
      <c r="H295" s="6">
        <f>IF(INPUT!F295="","",INPUT!F295)</f>
        <v/>
      </c>
      <c r="I295" s="6">
        <f>IF(F295="","","N/A")</f>
        <v/>
      </c>
    </row>
    <row r="296" ht="15" customHeight="1">
      <c r="A296" s="16">
        <f>IF(INPUT!A296="","",INPUT!A296)</f>
        <v/>
      </c>
      <c r="B296" s="16">
        <f>IF(INPUT!B296="","",INPUT!B296)</f>
        <v/>
      </c>
      <c r="C296" s="16">
        <f>IF(INPUT!C296="","",INPUT!C296)</f>
        <v/>
      </c>
      <c r="D296" s="16">
        <f>IF(INPUT!D296="","",INPUT!D296)</f>
        <v/>
      </c>
      <c r="E296" s="17">
        <f>IF(INPUT!E296="","",TEXT(INPUT!E296,"0000000000"))</f>
        <v/>
      </c>
      <c r="F296" s="4">
        <f>IF(E296="","",IF(COUNTIF(INDIRECT("PPI_"&amp;CONFIG!$B$4&amp;"!$A:$A"),VALUE(E296))&gt;0,"IN PPI","NOT IN PPI"))</f>
        <v/>
      </c>
      <c r="G296" s="4">
        <f>IF(F296="","","-")</f>
        <v/>
      </c>
      <c r="H296" s="4">
        <f>IF(INPUT!F296="","",INPUT!F296)</f>
        <v/>
      </c>
      <c r="I296" s="4">
        <f>IF(F296="","","N/A")</f>
        <v/>
      </c>
    </row>
    <row r="297" ht="15" customHeight="1">
      <c r="A297" s="14">
        <f>IF(INPUT!A297="","",INPUT!A297)</f>
        <v/>
      </c>
      <c r="B297" s="14">
        <f>IF(INPUT!B297="","",INPUT!B297)</f>
        <v/>
      </c>
      <c r="C297" s="14">
        <f>IF(INPUT!C297="","",INPUT!C297)</f>
        <v/>
      </c>
      <c r="D297" s="14">
        <f>IF(INPUT!D297="","",INPUT!D297)</f>
        <v/>
      </c>
      <c r="E297" s="15">
        <f>IF(INPUT!E297="","",TEXT(INPUT!E297,"0000000000"))</f>
        <v/>
      </c>
      <c r="F297" s="6">
        <f>IF(E297="","",IF(COUNTIF(INDIRECT("PPI_"&amp;CONFIG!$B$4&amp;"!$A:$A"),VALUE(E297))&gt;0,"IN PPI","NOT IN PPI"))</f>
        <v/>
      </c>
      <c r="G297" s="6">
        <f>IF(F297="","","-")</f>
        <v/>
      </c>
      <c r="H297" s="6">
        <f>IF(INPUT!F297="","",INPUT!F297)</f>
        <v/>
      </c>
      <c r="I297" s="6">
        <f>IF(F297="","","N/A")</f>
        <v/>
      </c>
    </row>
    <row r="298" ht="15" customHeight="1">
      <c r="A298" s="16">
        <f>IF(INPUT!A298="","",INPUT!A298)</f>
        <v/>
      </c>
      <c r="B298" s="16">
        <f>IF(INPUT!B298="","",INPUT!B298)</f>
        <v/>
      </c>
      <c r="C298" s="16">
        <f>IF(INPUT!C298="","",INPUT!C298)</f>
        <v/>
      </c>
      <c r="D298" s="16">
        <f>IF(INPUT!D298="","",INPUT!D298)</f>
        <v/>
      </c>
      <c r="E298" s="17">
        <f>IF(INPUT!E298="","",TEXT(INPUT!E298,"0000000000"))</f>
        <v/>
      </c>
      <c r="F298" s="4">
        <f>IF(E298="","",IF(COUNTIF(INDIRECT("PPI_"&amp;CONFIG!$B$4&amp;"!$A:$A"),VALUE(E298))&gt;0,"IN PPI","NOT IN PPI"))</f>
        <v/>
      </c>
      <c r="G298" s="4">
        <f>IF(F298="","","-")</f>
        <v/>
      </c>
      <c r="H298" s="4">
        <f>IF(INPUT!F298="","",INPUT!F298)</f>
        <v/>
      </c>
      <c r="I298" s="4">
        <f>IF(F298="","","N/A")</f>
        <v/>
      </c>
    </row>
    <row r="299" ht="15" customHeight="1">
      <c r="A299" s="14">
        <f>IF(INPUT!A299="","",INPUT!A299)</f>
        <v/>
      </c>
      <c r="B299" s="14">
        <f>IF(INPUT!B299="","",INPUT!B299)</f>
        <v/>
      </c>
      <c r="C299" s="14">
        <f>IF(INPUT!C299="","",INPUT!C299)</f>
        <v/>
      </c>
      <c r="D299" s="14">
        <f>IF(INPUT!D299="","",INPUT!D299)</f>
        <v/>
      </c>
      <c r="E299" s="15">
        <f>IF(INPUT!E299="","",TEXT(INPUT!E299,"0000000000"))</f>
        <v/>
      </c>
      <c r="F299" s="6">
        <f>IF(E299="","",IF(COUNTIF(INDIRECT("PPI_"&amp;CONFIG!$B$4&amp;"!$A:$A"),VALUE(E299))&gt;0,"IN PPI","NOT IN PPI"))</f>
        <v/>
      </c>
      <c r="G299" s="6">
        <f>IF(F299="","","-")</f>
        <v/>
      </c>
      <c r="H299" s="6">
        <f>IF(INPUT!F299="","",INPUT!F299)</f>
        <v/>
      </c>
      <c r="I299" s="6">
        <f>IF(F299="","","N/A")</f>
        <v/>
      </c>
    </row>
    <row r="300" ht="15" customHeight="1">
      <c r="A300" s="16">
        <f>IF(INPUT!A300="","",INPUT!A300)</f>
        <v/>
      </c>
      <c r="B300" s="16">
        <f>IF(INPUT!B300="","",INPUT!B300)</f>
        <v/>
      </c>
      <c r="C300" s="16">
        <f>IF(INPUT!C300="","",INPUT!C300)</f>
        <v/>
      </c>
      <c r="D300" s="16">
        <f>IF(INPUT!D300="","",INPUT!D300)</f>
        <v/>
      </c>
      <c r="E300" s="17">
        <f>IF(INPUT!E300="","",TEXT(INPUT!E300,"0000000000"))</f>
        <v/>
      </c>
      <c r="F300" s="4">
        <f>IF(E300="","",IF(COUNTIF(INDIRECT("PPI_"&amp;CONFIG!$B$4&amp;"!$A:$A"),VALUE(E300))&gt;0,"IN PPI","NOT IN PPI"))</f>
        <v/>
      </c>
      <c r="G300" s="4">
        <f>IF(F300="","","-")</f>
        <v/>
      </c>
      <c r="H300" s="4">
        <f>IF(INPUT!F300="","",INPUT!F300)</f>
        <v/>
      </c>
      <c r="I300" s="4">
        <f>IF(F300="","","N/A")</f>
        <v/>
      </c>
    </row>
    <row r="301" ht="15" customHeight="1">
      <c r="A301" s="14">
        <f>IF(INPUT!A301="","",INPUT!A301)</f>
        <v/>
      </c>
      <c r="B301" s="14">
        <f>IF(INPUT!B301="","",INPUT!B301)</f>
        <v/>
      </c>
      <c r="C301" s="14">
        <f>IF(INPUT!C301="","",INPUT!C301)</f>
        <v/>
      </c>
      <c r="D301" s="14">
        <f>IF(INPUT!D301="","",INPUT!D301)</f>
        <v/>
      </c>
      <c r="E301" s="15">
        <f>IF(INPUT!E301="","",TEXT(INPUT!E301,"0000000000"))</f>
        <v/>
      </c>
      <c r="F301" s="6">
        <f>IF(E301="","",IF(COUNTIF(INDIRECT("PPI_"&amp;CONFIG!$B$4&amp;"!$A:$A"),VALUE(E301))&gt;0,"IN PPI","NOT IN PPI"))</f>
        <v/>
      </c>
      <c r="G301" s="6">
        <f>IF(F301="","","-")</f>
        <v/>
      </c>
      <c r="H301" s="6">
        <f>IF(INPUT!F301="","",INPUT!F301)</f>
        <v/>
      </c>
      <c r="I301" s="6">
        <f>IF(F301="","","N/A")</f>
        <v/>
      </c>
    </row>
    <row r="302" ht="15" customHeight="1">
      <c r="A302" s="16">
        <f>IF(INPUT!A302="","",INPUT!A302)</f>
        <v/>
      </c>
      <c r="B302" s="16">
        <f>IF(INPUT!B302="","",INPUT!B302)</f>
        <v/>
      </c>
      <c r="C302" s="16">
        <f>IF(INPUT!C302="","",INPUT!C302)</f>
        <v/>
      </c>
      <c r="D302" s="16">
        <f>IF(INPUT!D302="","",INPUT!D302)</f>
        <v/>
      </c>
      <c r="E302" s="17">
        <f>IF(INPUT!E302="","",TEXT(INPUT!E302,"0000000000"))</f>
        <v/>
      </c>
      <c r="F302" s="4">
        <f>IF(E302="","",IF(COUNTIF(INDIRECT("PPI_"&amp;CONFIG!$B$4&amp;"!$A:$A"),VALUE(E302))&gt;0,"IN PPI","NOT IN PPI"))</f>
        <v/>
      </c>
      <c r="G302" s="4">
        <f>IF(F302="","","-")</f>
        <v/>
      </c>
      <c r="H302" s="4">
        <f>IF(INPUT!F302="","",INPUT!F302)</f>
        <v/>
      </c>
      <c r="I302" s="4">
        <f>IF(F302="","","N/A")</f>
        <v/>
      </c>
    </row>
    <row r="303" ht="15" customHeight="1">
      <c r="A303">
        <f>IF(INPUT!A303="","",INPUT!A303)</f>
        <v/>
      </c>
      <c r="B303">
        <f>IF(INPUT!B303="","",INPUT!B303)</f>
        <v/>
      </c>
      <c r="C303">
        <f>IF(INPUT!C303="","",INPUT!C303)</f>
        <v/>
      </c>
      <c r="D303">
        <f>IF(INPUT!D303="","",INPUT!D303)</f>
        <v/>
      </c>
      <c r="E303">
        <f>IF(INPUT!E303="","",TEXT(INPUT!E303,"0000000000"))</f>
        <v/>
      </c>
      <c r="F303">
        <f>IF(E303="","",IF(COUNTIF(INDIRECT("PPI_"&amp;CONFIG!$B$4&amp;"!$A:$A"),VALUE(E303))&gt;0,"IN PPI","NOT IN PPI"))</f>
        <v/>
      </c>
      <c r="G303">
        <f>IF(F303="","","-")</f>
        <v/>
      </c>
      <c r="H303">
        <f>IF(INPUT!F303="","",INPUT!F303)</f>
        <v/>
      </c>
      <c r="I303">
        <f>IF(F303="","","N/A")</f>
        <v/>
      </c>
    </row>
    <row r="304" ht="15" customHeight="1">
      <c r="A304">
        <f>IF(INPUT!A304="","",INPUT!A304)</f>
        <v/>
      </c>
      <c r="B304">
        <f>IF(INPUT!B304="","",INPUT!B304)</f>
        <v/>
      </c>
      <c r="C304">
        <f>IF(INPUT!C304="","",INPUT!C304)</f>
        <v/>
      </c>
      <c r="D304">
        <f>IF(INPUT!D304="","",INPUT!D304)</f>
        <v/>
      </c>
      <c r="E304">
        <f>IF(INPUT!E304="","",TEXT(INPUT!E304,"0000000000"))</f>
        <v/>
      </c>
      <c r="F304">
        <f>IF(E304="","",IF(COUNTIF(INDIRECT("PPI_"&amp;CONFIG!$B$4&amp;"!$A:$A"),VALUE(E304))&gt;0,"IN PPI","NOT IN PPI"))</f>
        <v/>
      </c>
      <c r="G304">
        <f>IF(F304="","","-")</f>
        <v/>
      </c>
      <c r="H304">
        <f>IF(INPUT!F304="","",INPUT!F304)</f>
        <v/>
      </c>
      <c r="I304">
        <f>IF(F304="","","N/A")</f>
        <v/>
      </c>
    </row>
    <row r="305" ht="15" customHeight="1">
      <c r="A305">
        <f>IF(INPUT!A305="","",INPUT!A305)</f>
        <v/>
      </c>
      <c r="B305">
        <f>IF(INPUT!B305="","",INPUT!B305)</f>
        <v/>
      </c>
      <c r="C305">
        <f>IF(INPUT!C305="","",INPUT!C305)</f>
        <v/>
      </c>
      <c r="D305">
        <f>IF(INPUT!D305="","",INPUT!D305)</f>
        <v/>
      </c>
      <c r="E305">
        <f>IF(INPUT!E305="","",TEXT(INPUT!E305,"0000000000"))</f>
        <v/>
      </c>
      <c r="F305">
        <f>IF(E305="","",IF(COUNTIF(INDIRECT("PPI_"&amp;CONFIG!$B$4&amp;"!$A:$A"),VALUE(E305))&gt;0,"IN PPI","NOT IN PPI"))</f>
        <v/>
      </c>
      <c r="G305">
        <f>IF(F305="","","-")</f>
        <v/>
      </c>
      <c r="H305">
        <f>IF(INPUT!F305="","",INPUT!F305)</f>
        <v/>
      </c>
      <c r="I305">
        <f>IF(F305="","","N/A")</f>
        <v/>
      </c>
    </row>
    <row r="306" ht="15" customHeight="1">
      <c r="A306">
        <f>IF(INPUT!A306="","",INPUT!A306)</f>
        <v/>
      </c>
      <c r="B306">
        <f>IF(INPUT!B306="","",INPUT!B306)</f>
        <v/>
      </c>
      <c r="C306">
        <f>IF(INPUT!C306="","",INPUT!C306)</f>
        <v/>
      </c>
      <c r="D306">
        <f>IF(INPUT!D306="","",INPUT!D306)</f>
        <v/>
      </c>
      <c r="E306">
        <f>IF(INPUT!E306="","",TEXT(INPUT!E306,"0000000000"))</f>
        <v/>
      </c>
      <c r="F306">
        <f>IF(E306="","",IF(COUNTIF(INDIRECT("PPI_"&amp;CONFIG!$B$4&amp;"!$A:$A"),VALUE(E306))&gt;0,"IN PPI","NOT IN PPI"))</f>
        <v/>
      </c>
      <c r="G306">
        <f>IF(F306="","","-")</f>
        <v/>
      </c>
      <c r="H306">
        <f>IF(INPUT!F306="","",INPUT!F306)</f>
        <v/>
      </c>
      <c r="I306">
        <f>IF(F306="","","N/A")</f>
        <v/>
      </c>
    </row>
    <row r="307" ht="15" customHeight="1">
      <c r="A307">
        <f>IF(INPUT!A307="","",INPUT!A307)</f>
        <v/>
      </c>
      <c r="B307">
        <f>IF(INPUT!B307="","",INPUT!B307)</f>
        <v/>
      </c>
      <c r="C307">
        <f>IF(INPUT!C307="","",INPUT!C307)</f>
        <v/>
      </c>
      <c r="D307">
        <f>IF(INPUT!D307="","",INPUT!D307)</f>
        <v/>
      </c>
      <c r="E307">
        <f>IF(INPUT!E307="","",TEXT(INPUT!E307,"0000000000"))</f>
        <v/>
      </c>
      <c r="F307">
        <f>IF(E307="","",IF(COUNTIF(INDIRECT("PPI_"&amp;CONFIG!$B$4&amp;"!$A:$A"),VALUE(E307))&gt;0,"IN PPI","NOT IN PPI"))</f>
        <v/>
      </c>
      <c r="G307">
        <f>IF(F307="","","-")</f>
        <v/>
      </c>
      <c r="H307">
        <f>IF(INPUT!F307="","",INPUT!F307)</f>
        <v/>
      </c>
      <c r="I307">
        <f>IF(F307="","","N/A")</f>
        <v/>
      </c>
    </row>
    <row r="308" ht="15" customHeight="1">
      <c r="A308">
        <f>IF(INPUT!A308="","",INPUT!A308)</f>
        <v/>
      </c>
      <c r="B308">
        <f>IF(INPUT!B308="","",INPUT!B308)</f>
        <v/>
      </c>
      <c r="C308">
        <f>IF(INPUT!C308="","",INPUT!C308)</f>
        <v/>
      </c>
      <c r="D308">
        <f>IF(INPUT!D308="","",INPUT!D308)</f>
        <v/>
      </c>
      <c r="E308">
        <f>IF(INPUT!E308="","",TEXT(INPUT!E308,"0000000000"))</f>
        <v/>
      </c>
      <c r="F308">
        <f>IF(E308="","",IF(COUNTIF(INDIRECT("PPI_"&amp;CONFIG!$B$4&amp;"!$A:$A"),VALUE(E308))&gt;0,"IN PPI","NOT IN PPI"))</f>
        <v/>
      </c>
      <c r="G308">
        <f>IF(F308="","","-")</f>
        <v/>
      </c>
      <c r="H308">
        <f>IF(INPUT!F308="","",INPUT!F308)</f>
        <v/>
      </c>
      <c r="I308">
        <f>IF(F308="","","N/A")</f>
        <v/>
      </c>
    </row>
    <row r="309" ht="15" customHeight="1">
      <c r="A309">
        <f>IF(INPUT!A309="","",INPUT!A309)</f>
        <v/>
      </c>
      <c r="B309">
        <f>IF(INPUT!B309="","",INPUT!B309)</f>
        <v/>
      </c>
      <c r="C309">
        <f>IF(INPUT!C309="","",INPUT!C309)</f>
        <v/>
      </c>
      <c r="D309">
        <f>IF(INPUT!D309="","",INPUT!D309)</f>
        <v/>
      </c>
      <c r="E309">
        <f>IF(INPUT!E309="","",TEXT(INPUT!E309,"0000000000"))</f>
        <v/>
      </c>
      <c r="F309">
        <f>IF(E309="","",IF(COUNTIF(INDIRECT("PPI_"&amp;CONFIG!$B$4&amp;"!$A:$A"),VALUE(E309))&gt;0,"IN PPI","NOT IN PPI"))</f>
        <v/>
      </c>
      <c r="G309">
        <f>IF(F309="","","-")</f>
        <v/>
      </c>
      <c r="H309">
        <f>IF(INPUT!F309="","",INPUT!F309)</f>
        <v/>
      </c>
      <c r="I309">
        <f>IF(F309="","","N/A")</f>
        <v/>
      </c>
    </row>
    <row r="310" ht="15" customHeight="1">
      <c r="A310">
        <f>IF(INPUT!A310="","",INPUT!A310)</f>
        <v/>
      </c>
      <c r="B310">
        <f>IF(INPUT!B310="","",INPUT!B310)</f>
        <v/>
      </c>
      <c r="C310">
        <f>IF(INPUT!C310="","",INPUT!C310)</f>
        <v/>
      </c>
      <c r="D310">
        <f>IF(INPUT!D310="","",INPUT!D310)</f>
        <v/>
      </c>
      <c r="E310">
        <f>IF(INPUT!E310="","",TEXT(INPUT!E310,"0000000000"))</f>
        <v/>
      </c>
      <c r="F310">
        <f>IF(E310="","",IF(COUNTIF(INDIRECT("PPI_"&amp;CONFIG!$B$4&amp;"!$A:$A"),VALUE(E310))&gt;0,"IN PPI","NOT IN PPI"))</f>
        <v/>
      </c>
      <c r="G310">
        <f>IF(F310="","","-")</f>
        <v/>
      </c>
      <c r="H310">
        <f>IF(INPUT!F310="","",INPUT!F310)</f>
        <v/>
      </c>
      <c r="I310">
        <f>IF(F310="","","N/A")</f>
        <v/>
      </c>
    </row>
    <row r="311" ht="15" customHeight="1">
      <c r="A311">
        <f>IF(INPUT!A311="","",INPUT!A311)</f>
        <v/>
      </c>
      <c r="B311">
        <f>IF(INPUT!B311="","",INPUT!B311)</f>
        <v/>
      </c>
      <c r="C311">
        <f>IF(INPUT!C311="","",INPUT!C311)</f>
        <v/>
      </c>
      <c r="D311">
        <f>IF(INPUT!D311="","",INPUT!D311)</f>
        <v/>
      </c>
      <c r="E311">
        <f>IF(INPUT!E311="","",TEXT(INPUT!E311,"0000000000"))</f>
        <v/>
      </c>
      <c r="F311">
        <f>IF(E311="","",IF(COUNTIF(INDIRECT("PPI_"&amp;CONFIG!$B$4&amp;"!$A:$A"),VALUE(E311))&gt;0,"IN PPI","NOT IN PPI"))</f>
        <v/>
      </c>
      <c r="G311">
        <f>IF(F311="","","-")</f>
        <v/>
      </c>
      <c r="H311">
        <f>IF(INPUT!F311="","",INPUT!F311)</f>
        <v/>
      </c>
      <c r="I311">
        <f>IF(F311="","","N/A")</f>
        <v/>
      </c>
    </row>
    <row r="312" ht="15" customHeight="1">
      <c r="A312">
        <f>IF(INPUT!A312="","",INPUT!A312)</f>
        <v/>
      </c>
      <c r="B312">
        <f>IF(INPUT!B312="","",INPUT!B312)</f>
        <v/>
      </c>
      <c r="C312">
        <f>IF(INPUT!C312="","",INPUT!C312)</f>
        <v/>
      </c>
      <c r="D312">
        <f>IF(INPUT!D312="","",INPUT!D312)</f>
        <v/>
      </c>
      <c r="E312">
        <f>IF(INPUT!E312="","",TEXT(INPUT!E312,"0000000000"))</f>
        <v/>
      </c>
      <c r="F312">
        <f>IF(E312="","",IF(COUNTIF(INDIRECT("PPI_"&amp;CONFIG!$B$4&amp;"!$A:$A"),VALUE(E312))&gt;0,"IN PPI","NOT IN PPI"))</f>
        <v/>
      </c>
      <c r="G312">
        <f>IF(F312="","","-")</f>
        <v/>
      </c>
      <c r="H312">
        <f>IF(INPUT!F312="","",INPUT!F312)</f>
        <v/>
      </c>
      <c r="I312">
        <f>IF(F312="","","N/A")</f>
        <v/>
      </c>
    </row>
    <row r="313" ht="15" customHeight="1">
      <c r="A313">
        <f>IF(INPUT!A313="","",INPUT!A313)</f>
        <v/>
      </c>
      <c r="B313">
        <f>IF(INPUT!B313="","",INPUT!B313)</f>
        <v/>
      </c>
      <c r="C313">
        <f>IF(INPUT!C313="","",INPUT!C313)</f>
        <v/>
      </c>
      <c r="D313">
        <f>IF(INPUT!D313="","",INPUT!D313)</f>
        <v/>
      </c>
      <c r="E313">
        <f>IF(INPUT!E313="","",TEXT(INPUT!E313,"0000000000"))</f>
        <v/>
      </c>
      <c r="F313">
        <f>IF(E313="","",IF(COUNTIF(INDIRECT("PPI_"&amp;CONFIG!$B$4&amp;"!$A:$A"),VALUE(E313))&gt;0,"IN PPI","NOT IN PPI"))</f>
        <v/>
      </c>
      <c r="G313">
        <f>IF(F313="","","-")</f>
        <v/>
      </c>
      <c r="H313">
        <f>IF(INPUT!F313="","",INPUT!F313)</f>
        <v/>
      </c>
      <c r="I313">
        <f>IF(F313="","","N/A")</f>
        <v/>
      </c>
    </row>
    <row r="314" ht="15" customHeight="1">
      <c r="A314">
        <f>IF(INPUT!A314="","",INPUT!A314)</f>
        <v/>
      </c>
      <c r="B314">
        <f>IF(INPUT!B314="","",INPUT!B314)</f>
        <v/>
      </c>
      <c r="C314">
        <f>IF(INPUT!C314="","",INPUT!C314)</f>
        <v/>
      </c>
      <c r="D314">
        <f>IF(INPUT!D314="","",INPUT!D314)</f>
        <v/>
      </c>
      <c r="E314">
        <f>IF(INPUT!E314="","",TEXT(INPUT!E314,"0000000000"))</f>
        <v/>
      </c>
      <c r="F314">
        <f>IF(E314="","",IF(COUNTIF(INDIRECT("PPI_"&amp;CONFIG!$B$4&amp;"!$A:$A"),VALUE(E314))&gt;0,"IN PPI","NOT IN PPI"))</f>
        <v/>
      </c>
      <c r="G314">
        <f>IF(F314="","","-")</f>
        <v/>
      </c>
      <c r="H314">
        <f>IF(INPUT!F314="","",INPUT!F314)</f>
        <v/>
      </c>
      <c r="I314">
        <f>IF(F314="","","N/A")</f>
        <v/>
      </c>
    </row>
    <row r="315" ht="15" customHeight="1">
      <c r="A315">
        <f>IF(INPUT!A315="","",INPUT!A315)</f>
        <v/>
      </c>
      <c r="B315">
        <f>IF(INPUT!B315="","",INPUT!B315)</f>
        <v/>
      </c>
      <c r="C315">
        <f>IF(INPUT!C315="","",INPUT!C315)</f>
        <v/>
      </c>
      <c r="D315">
        <f>IF(INPUT!D315="","",INPUT!D315)</f>
        <v/>
      </c>
      <c r="E315">
        <f>IF(INPUT!E315="","",TEXT(INPUT!E315,"0000000000"))</f>
        <v/>
      </c>
      <c r="F315">
        <f>IF(E315="","",IF(COUNTIF(INDIRECT("PPI_"&amp;CONFIG!$B$4&amp;"!$A:$A"),VALUE(E315))&gt;0,"IN PPI","NOT IN PPI"))</f>
        <v/>
      </c>
      <c r="G315">
        <f>IF(F315="","","-")</f>
        <v/>
      </c>
      <c r="H315">
        <f>IF(INPUT!F315="","",INPUT!F315)</f>
        <v/>
      </c>
      <c r="I315">
        <f>IF(F315="","","N/A")</f>
        <v/>
      </c>
    </row>
    <row r="316" ht="15" customHeight="1">
      <c r="A316">
        <f>IF(INPUT!A316="","",INPUT!A316)</f>
        <v/>
      </c>
      <c r="B316">
        <f>IF(INPUT!B316="","",INPUT!B316)</f>
        <v/>
      </c>
      <c r="C316">
        <f>IF(INPUT!C316="","",INPUT!C316)</f>
        <v/>
      </c>
      <c r="D316">
        <f>IF(INPUT!D316="","",INPUT!D316)</f>
        <v/>
      </c>
      <c r="E316">
        <f>IF(INPUT!E316="","",TEXT(INPUT!E316,"0000000000"))</f>
        <v/>
      </c>
      <c r="F316">
        <f>IF(E316="","",IF(COUNTIF(INDIRECT("PPI_"&amp;CONFIG!$B$4&amp;"!$A:$A"),VALUE(E316))&gt;0,"IN PPI","NOT IN PPI"))</f>
        <v/>
      </c>
      <c r="G316">
        <f>IF(F316="","","-")</f>
        <v/>
      </c>
      <c r="H316">
        <f>IF(INPUT!F316="","",INPUT!F316)</f>
        <v/>
      </c>
      <c r="I316">
        <f>IF(F316="","","N/A")</f>
        <v/>
      </c>
    </row>
    <row r="317" ht="15" customHeight="1">
      <c r="A317">
        <f>IF(INPUT!A317="","",INPUT!A317)</f>
        <v/>
      </c>
      <c r="B317">
        <f>IF(INPUT!B317="","",INPUT!B317)</f>
        <v/>
      </c>
      <c r="C317">
        <f>IF(INPUT!C317="","",INPUT!C317)</f>
        <v/>
      </c>
      <c r="D317">
        <f>IF(INPUT!D317="","",INPUT!D317)</f>
        <v/>
      </c>
      <c r="E317">
        <f>IF(INPUT!E317="","",TEXT(INPUT!E317,"0000000000"))</f>
        <v/>
      </c>
      <c r="F317">
        <f>IF(E317="","",IF(COUNTIF(INDIRECT("PPI_"&amp;CONFIG!$B$4&amp;"!$A:$A"),VALUE(E317))&gt;0,"IN PPI","NOT IN PPI"))</f>
        <v/>
      </c>
      <c r="G317">
        <f>IF(F317="","","-")</f>
        <v/>
      </c>
      <c r="H317">
        <f>IF(INPUT!F317="","",INPUT!F317)</f>
        <v/>
      </c>
      <c r="I317">
        <f>IF(F317="","","N/A")</f>
        <v/>
      </c>
    </row>
    <row r="318" ht="15" customHeight="1">
      <c r="A318">
        <f>IF(INPUT!A318="","",INPUT!A318)</f>
        <v/>
      </c>
      <c r="B318">
        <f>IF(INPUT!B318="","",INPUT!B318)</f>
        <v/>
      </c>
      <c r="C318">
        <f>IF(INPUT!C318="","",INPUT!C318)</f>
        <v/>
      </c>
      <c r="D318">
        <f>IF(INPUT!D318="","",INPUT!D318)</f>
        <v/>
      </c>
      <c r="E318">
        <f>IF(INPUT!E318="","",TEXT(INPUT!E318,"0000000000"))</f>
        <v/>
      </c>
      <c r="F318">
        <f>IF(E318="","",IF(COUNTIF(INDIRECT("PPI_"&amp;CONFIG!$B$4&amp;"!$A:$A"),VALUE(E318))&gt;0,"IN PPI","NOT IN PPI"))</f>
        <v/>
      </c>
      <c r="G318">
        <f>IF(F318="","","-")</f>
        <v/>
      </c>
      <c r="H318">
        <f>IF(INPUT!F318="","",INPUT!F318)</f>
        <v/>
      </c>
      <c r="I318">
        <f>IF(F318="","","N/A")</f>
        <v/>
      </c>
    </row>
    <row r="319" ht="15" customHeight="1">
      <c r="A319">
        <f>IF(INPUT!A319="","",INPUT!A319)</f>
        <v/>
      </c>
      <c r="B319">
        <f>IF(INPUT!B319="","",INPUT!B319)</f>
        <v/>
      </c>
      <c r="C319">
        <f>IF(INPUT!C319="","",INPUT!C319)</f>
        <v/>
      </c>
      <c r="D319">
        <f>IF(INPUT!D319="","",INPUT!D319)</f>
        <v/>
      </c>
      <c r="E319">
        <f>IF(INPUT!E319="","",TEXT(INPUT!E319,"0000000000"))</f>
        <v/>
      </c>
      <c r="F319">
        <f>IF(E319="","",IF(COUNTIF(INDIRECT("PPI_"&amp;CONFIG!$B$4&amp;"!$A:$A"),VALUE(E319))&gt;0,"IN PPI","NOT IN PPI"))</f>
        <v/>
      </c>
      <c r="G319">
        <f>IF(F319="","","-")</f>
        <v/>
      </c>
      <c r="H319">
        <f>IF(INPUT!F319="","",INPUT!F319)</f>
        <v/>
      </c>
      <c r="I319">
        <f>IF(F319="","","N/A")</f>
        <v/>
      </c>
    </row>
    <row r="320" ht="15" customHeight="1">
      <c r="A320">
        <f>IF(INPUT!A320="","",INPUT!A320)</f>
        <v/>
      </c>
      <c r="B320">
        <f>IF(INPUT!B320="","",INPUT!B320)</f>
        <v/>
      </c>
      <c r="C320">
        <f>IF(INPUT!C320="","",INPUT!C320)</f>
        <v/>
      </c>
      <c r="D320">
        <f>IF(INPUT!D320="","",INPUT!D320)</f>
        <v/>
      </c>
      <c r="E320">
        <f>IF(INPUT!E320="","",TEXT(INPUT!E320,"0000000000"))</f>
        <v/>
      </c>
      <c r="F320">
        <f>IF(E320="","",IF(COUNTIF(INDIRECT("PPI_"&amp;CONFIG!$B$4&amp;"!$A:$A"),VALUE(E320))&gt;0,"IN PPI","NOT IN PPI"))</f>
        <v/>
      </c>
      <c r="G320">
        <f>IF(F320="","","-")</f>
        <v/>
      </c>
      <c r="H320">
        <f>IF(INPUT!F320="","",INPUT!F320)</f>
        <v/>
      </c>
      <c r="I320">
        <f>IF(F320="","","N/A")</f>
        <v/>
      </c>
    </row>
    <row r="321" ht="15" customHeight="1">
      <c r="A321">
        <f>IF(INPUT!A321="","",INPUT!A321)</f>
        <v/>
      </c>
      <c r="B321">
        <f>IF(INPUT!B321="","",INPUT!B321)</f>
        <v/>
      </c>
      <c r="C321">
        <f>IF(INPUT!C321="","",INPUT!C321)</f>
        <v/>
      </c>
      <c r="D321">
        <f>IF(INPUT!D321="","",INPUT!D321)</f>
        <v/>
      </c>
      <c r="E321">
        <f>IF(INPUT!E321="","",TEXT(INPUT!E321,"0000000000"))</f>
        <v/>
      </c>
      <c r="F321">
        <f>IF(E321="","",IF(COUNTIF(INDIRECT("PPI_"&amp;CONFIG!$B$4&amp;"!$A:$A"),VALUE(E321))&gt;0,"IN PPI","NOT IN PPI"))</f>
        <v/>
      </c>
      <c r="G321">
        <f>IF(F321="","","-")</f>
        <v/>
      </c>
      <c r="H321">
        <f>IF(INPUT!F321="","",INPUT!F321)</f>
        <v/>
      </c>
      <c r="I321">
        <f>IF(F321="","","N/A")</f>
        <v/>
      </c>
    </row>
    <row r="322" ht="15" customHeight="1">
      <c r="A322">
        <f>IF(INPUT!A322="","",INPUT!A322)</f>
        <v/>
      </c>
      <c r="B322">
        <f>IF(INPUT!B322="","",INPUT!B322)</f>
        <v/>
      </c>
      <c r="C322">
        <f>IF(INPUT!C322="","",INPUT!C322)</f>
        <v/>
      </c>
      <c r="D322">
        <f>IF(INPUT!D322="","",INPUT!D322)</f>
        <v/>
      </c>
      <c r="E322">
        <f>IF(INPUT!E322="","",TEXT(INPUT!E322,"0000000000"))</f>
        <v/>
      </c>
      <c r="F322">
        <f>IF(E322="","",IF(COUNTIF(INDIRECT("PPI_"&amp;CONFIG!$B$4&amp;"!$A:$A"),VALUE(E322))&gt;0,"IN PPI","NOT IN PPI"))</f>
        <v/>
      </c>
      <c r="G322">
        <f>IF(F322="","","-")</f>
        <v/>
      </c>
      <c r="H322">
        <f>IF(INPUT!F322="","",INPUT!F322)</f>
        <v/>
      </c>
      <c r="I322">
        <f>IF(F322="","","N/A")</f>
        <v/>
      </c>
    </row>
    <row r="323" ht="15" customHeight="1">
      <c r="A323">
        <f>IF(INPUT!A323="","",INPUT!A323)</f>
        <v/>
      </c>
      <c r="B323">
        <f>IF(INPUT!B323="","",INPUT!B323)</f>
        <v/>
      </c>
      <c r="C323">
        <f>IF(INPUT!C323="","",INPUT!C323)</f>
        <v/>
      </c>
      <c r="D323">
        <f>IF(INPUT!D323="","",INPUT!D323)</f>
        <v/>
      </c>
      <c r="E323">
        <f>IF(INPUT!E323="","",TEXT(INPUT!E323,"0000000000"))</f>
        <v/>
      </c>
      <c r="F323">
        <f>IF(E323="","",IF(COUNTIF(INDIRECT("PPI_"&amp;CONFIG!$B$4&amp;"!$A:$A"),VALUE(E323))&gt;0,"IN PPI","NOT IN PPI"))</f>
        <v/>
      </c>
      <c r="G323">
        <f>IF(F323="","","-")</f>
        <v/>
      </c>
      <c r="H323">
        <f>IF(INPUT!F323="","",INPUT!F323)</f>
        <v/>
      </c>
      <c r="I323">
        <f>IF(F323="","","N/A")</f>
        <v/>
      </c>
    </row>
    <row r="324" ht="15" customHeight="1">
      <c r="A324">
        <f>IF(INPUT!A324="","",INPUT!A324)</f>
        <v/>
      </c>
      <c r="B324">
        <f>IF(INPUT!B324="","",INPUT!B324)</f>
        <v/>
      </c>
      <c r="C324">
        <f>IF(INPUT!C324="","",INPUT!C324)</f>
        <v/>
      </c>
      <c r="D324">
        <f>IF(INPUT!D324="","",INPUT!D324)</f>
        <v/>
      </c>
      <c r="E324">
        <f>IF(INPUT!E324="","",TEXT(INPUT!E324,"0000000000"))</f>
        <v/>
      </c>
      <c r="F324">
        <f>IF(E324="","",IF(COUNTIF(INDIRECT("PPI_"&amp;CONFIG!$B$4&amp;"!$A:$A"),VALUE(E324))&gt;0,"IN PPI","NOT IN PPI"))</f>
        <v/>
      </c>
      <c r="G324">
        <f>IF(F324="","","-")</f>
        <v/>
      </c>
      <c r="H324">
        <f>IF(INPUT!F324="","",INPUT!F324)</f>
        <v/>
      </c>
      <c r="I324">
        <f>IF(F324="","","N/A")</f>
        <v/>
      </c>
    </row>
    <row r="325" ht="15" customHeight="1">
      <c r="A325">
        <f>IF(INPUT!A325="","",INPUT!A325)</f>
        <v/>
      </c>
      <c r="B325">
        <f>IF(INPUT!B325="","",INPUT!B325)</f>
        <v/>
      </c>
      <c r="C325">
        <f>IF(INPUT!C325="","",INPUT!C325)</f>
        <v/>
      </c>
      <c r="D325">
        <f>IF(INPUT!D325="","",INPUT!D325)</f>
        <v/>
      </c>
      <c r="E325">
        <f>IF(INPUT!E325="","",TEXT(INPUT!E325,"0000000000"))</f>
        <v/>
      </c>
      <c r="F325">
        <f>IF(E325="","",IF(COUNTIF(INDIRECT("PPI_"&amp;CONFIG!$B$4&amp;"!$A:$A"),VALUE(E325))&gt;0,"IN PPI","NOT IN PPI"))</f>
        <v/>
      </c>
      <c r="G325">
        <f>IF(F325="","","-")</f>
        <v/>
      </c>
      <c r="H325">
        <f>IF(INPUT!F325="","",INPUT!F325)</f>
        <v/>
      </c>
      <c r="I325">
        <f>IF(F325="","","N/A")</f>
        <v/>
      </c>
    </row>
    <row r="326" ht="15" customHeight="1">
      <c r="A326">
        <f>IF(INPUT!A326="","",INPUT!A326)</f>
        <v/>
      </c>
      <c r="B326">
        <f>IF(INPUT!B326="","",INPUT!B326)</f>
        <v/>
      </c>
      <c r="C326">
        <f>IF(INPUT!C326="","",INPUT!C326)</f>
        <v/>
      </c>
      <c r="D326">
        <f>IF(INPUT!D326="","",INPUT!D326)</f>
        <v/>
      </c>
      <c r="E326">
        <f>IF(INPUT!E326="","",TEXT(INPUT!E326,"0000000000"))</f>
        <v/>
      </c>
      <c r="F326">
        <f>IF(E326="","",IF(COUNTIF(INDIRECT("PPI_"&amp;CONFIG!$B$4&amp;"!$A:$A"),VALUE(E326))&gt;0,"IN PPI","NOT IN PPI"))</f>
        <v/>
      </c>
      <c r="G326">
        <f>IF(F326="","","-")</f>
        <v/>
      </c>
      <c r="H326">
        <f>IF(INPUT!F326="","",INPUT!F326)</f>
        <v/>
      </c>
      <c r="I326">
        <f>IF(F326="","","N/A")</f>
        <v/>
      </c>
    </row>
    <row r="327" ht="15" customHeight="1">
      <c r="A327">
        <f>IF(INPUT!A327="","",INPUT!A327)</f>
        <v/>
      </c>
      <c r="B327">
        <f>IF(INPUT!B327="","",INPUT!B327)</f>
        <v/>
      </c>
      <c r="C327">
        <f>IF(INPUT!C327="","",INPUT!C327)</f>
        <v/>
      </c>
      <c r="D327">
        <f>IF(INPUT!D327="","",INPUT!D327)</f>
        <v/>
      </c>
      <c r="E327">
        <f>IF(INPUT!E327="","",TEXT(INPUT!E327,"0000000000"))</f>
        <v/>
      </c>
      <c r="F327">
        <f>IF(E327="","",IF(COUNTIF(INDIRECT("PPI_"&amp;CONFIG!$B$4&amp;"!$A:$A"),VALUE(E327))&gt;0,"IN PPI","NOT IN PPI"))</f>
        <v/>
      </c>
      <c r="G327">
        <f>IF(F327="","","-")</f>
        <v/>
      </c>
      <c r="H327">
        <f>IF(INPUT!F327="","",INPUT!F327)</f>
        <v/>
      </c>
      <c r="I327">
        <f>IF(F327="","","N/A")</f>
        <v/>
      </c>
    </row>
    <row r="328" ht="15" customHeight="1">
      <c r="A328">
        <f>IF(INPUT!A328="","",INPUT!A328)</f>
        <v/>
      </c>
      <c r="B328">
        <f>IF(INPUT!B328="","",INPUT!B328)</f>
        <v/>
      </c>
      <c r="C328">
        <f>IF(INPUT!C328="","",INPUT!C328)</f>
        <v/>
      </c>
      <c r="D328">
        <f>IF(INPUT!D328="","",INPUT!D328)</f>
        <v/>
      </c>
      <c r="E328">
        <f>IF(INPUT!E328="","",TEXT(INPUT!E328,"0000000000"))</f>
        <v/>
      </c>
      <c r="F328">
        <f>IF(E328="","",IF(COUNTIF(INDIRECT("PPI_"&amp;CONFIG!$B$4&amp;"!$A:$A"),VALUE(E328))&gt;0,"IN PPI","NOT IN PPI"))</f>
        <v/>
      </c>
      <c r="G328">
        <f>IF(F328="","","-")</f>
        <v/>
      </c>
      <c r="H328">
        <f>IF(INPUT!F328="","",INPUT!F328)</f>
        <v/>
      </c>
      <c r="I328">
        <f>IF(F328="","","N/A")</f>
        <v/>
      </c>
    </row>
    <row r="329" ht="15" customHeight="1">
      <c r="A329">
        <f>IF(INPUT!A329="","",INPUT!A329)</f>
        <v/>
      </c>
      <c r="B329">
        <f>IF(INPUT!B329="","",INPUT!B329)</f>
        <v/>
      </c>
      <c r="C329">
        <f>IF(INPUT!C329="","",INPUT!C329)</f>
        <v/>
      </c>
      <c r="D329">
        <f>IF(INPUT!D329="","",INPUT!D329)</f>
        <v/>
      </c>
      <c r="E329">
        <f>IF(INPUT!E329="","",TEXT(INPUT!E329,"0000000000"))</f>
        <v/>
      </c>
      <c r="F329">
        <f>IF(E329="","",IF(COUNTIF(INDIRECT("PPI_"&amp;CONFIG!$B$4&amp;"!$A:$A"),VALUE(E329))&gt;0,"IN PPI","NOT IN PPI"))</f>
        <v/>
      </c>
      <c r="G329">
        <f>IF(F329="","","-")</f>
        <v/>
      </c>
      <c r="H329">
        <f>IF(INPUT!F329="","",INPUT!F329)</f>
        <v/>
      </c>
      <c r="I329">
        <f>IF(F329="","","N/A")</f>
        <v/>
      </c>
    </row>
    <row r="330" ht="15" customHeight="1">
      <c r="A330">
        <f>IF(INPUT!A330="","",INPUT!A330)</f>
        <v/>
      </c>
      <c r="B330">
        <f>IF(INPUT!B330="","",INPUT!B330)</f>
        <v/>
      </c>
      <c r="C330">
        <f>IF(INPUT!C330="","",INPUT!C330)</f>
        <v/>
      </c>
      <c r="D330">
        <f>IF(INPUT!D330="","",INPUT!D330)</f>
        <v/>
      </c>
      <c r="E330">
        <f>IF(INPUT!E330="","",TEXT(INPUT!E330,"0000000000"))</f>
        <v/>
      </c>
      <c r="F330">
        <f>IF(E330="","",IF(COUNTIF(INDIRECT("PPI_"&amp;CONFIG!$B$4&amp;"!$A:$A"),VALUE(E330))&gt;0,"IN PPI","NOT IN PPI"))</f>
        <v/>
      </c>
      <c r="G330">
        <f>IF(F330="","","-")</f>
        <v/>
      </c>
      <c r="H330">
        <f>IF(INPUT!F330="","",INPUT!F330)</f>
        <v/>
      </c>
      <c r="I330">
        <f>IF(F330="","","N/A")</f>
        <v/>
      </c>
    </row>
    <row r="331" ht="15" customHeight="1">
      <c r="A331">
        <f>IF(INPUT!A331="","",INPUT!A331)</f>
        <v/>
      </c>
      <c r="B331">
        <f>IF(INPUT!B331="","",INPUT!B331)</f>
        <v/>
      </c>
      <c r="C331">
        <f>IF(INPUT!C331="","",INPUT!C331)</f>
        <v/>
      </c>
      <c r="D331">
        <f>IF(INPUT!D331="","",INPUT!D331)</f>
        <v/>
      </c>
      <c r="E331">
        <f>IF(INPUT!E331="","",TEXT(INPUT!E331,"0000000000"))</f>
        <v/>
      </c>
      <c r="F331">
        <f>IF(E331="","",IF(COUNTIF(INDIRECT("PPI_"&amp;CONFIG!$B$4&amp;"!$A:$A"),VALUE(E331))&gt;0,"IN PPI","NOT IN PPI"))</f>
        <v/>
      </c>
      <c r="G331">
        <f>IF(F331="","","-")</f>
        <v/>
      </c>
      <c r="H331">
        <f>IF(INPUT!F331="","",INPUT!F331)</f>
        <v/>
      </c>
      <c r="I331">
        <f>IF(F331="","","N/A")</f>
        <v/>
      </c>
    </row>
    <row r="332" ht="15" customHeight="1">
      <c r="A332">
        <f>IF(INPUT!A332="","",INPUT!A332)</f>
        <v/>
      </c>
      <c r="B332">
        <f>IF(INPUT!B332="","",INPUT!B332)</f>
        <v/>
      </c>
      <c r="C332">
        <f>IF(INPUT!C332="","",INPUT!C332)</f>
        <v/>
      </c>
      <c r="D332">
        <f>IF(INPUT!D332="","",INPUT!D332)</f>
        <v/>
      </c>
      <c r="E332">
        <f>IF(INPUT!E332="","",TEXT(INPUT!E332,"0000000000"))</f>
        <v/>
      </c>
      <c r="F332">
        <f>IF(E332="","",IF(COUNTIF(INDIRECT("PPI_"&amp;CONFIG!$B$4&amp;"!$A:$A"),VALUE(E332))&gt;0,"IN PPI","NOT IN PPI"))</f>
        <v/>
      </c>
      <c r="G332">
        <f>IF(F332="","","-")</f>
        <v/>
      </c>
      <c r="H332">
        <f>IF(INPUT!F332="","",INPUT!F332)</f>
        <v/>
      </c>
      <c r="I332">
        <f>IF(F332="","","N/A")</f>
        <v/>
      </c>
    </row>
    <row r="333" ht="15" customHeight="1">
      <c r="A333">
        <f>IF(INPUT!A333="","",INPUT!A333)</f>
        <v/>
      </c>
      <c r="B333">
        <f>IF(INPUT!B333="","",INPUT!B333)</f>
        <v/>
      </c>
      <c r="C333">
        <f>IF(INPUT!C333="","",INPUT!C333)</f>
        <v/>
      </c>
      <c r="D333">
        <f>IF(INPUT!D333="","",INPUT!D333)</f>
        <v/>
      </c>
      <c r="E333">
        <f>IF(INPUT!E333="","",TEXT(INPUT!E333,"0000000000"))</f>
        <v/>
      </c>
      <c r="F333">
        <f>IF(E333="","",IF(COUNTIF(INDIRECT("PPI_"&amp;CONFIG!$B$4&amp;"!$A:$A"),VALUE(E333))&gt;0,"IN PPI","NOT IN PPI"))</f>
        <v/>
      </c>
      <c r="G333">
        <f>IF(F333="","","-")</f>
        <v/>
      </c>
      <c r="H333">
        <f>IF(INPUT!F333="","",INPUT!F333)</f>
        <v/>
      </c>
      <c r="I333">
        <f>IF(F333="","","N/A")</f>
        <v/>
      </c>
    </row>
    <row r="334" ht="15" customHeight="1">
      <c r="A334">
        <f>IF(INPUT!A334="","",INPUT!A334)</f>
        <v/>
      </c>
      <c r="B334">
        <f>IF(INPUT!B334="","",INPUT!B334)</f>
        <v/>
      </c>
      <c r="C334">
        <f>IF(INPUT!C334="","",INPUT!C334)</f>
        <v/>
      </c>
      <c r="D334">
        <f>IF(INPUT!D334="","",INPUT!D334)</f>
        <v/>
      </c>
      <c r="E334">
        <f>IF(INPUT!E334="","",TEXT(INPUT!E334,"0000000000"))</f>
        <v/>
      </c>
      <c r="F334">
        <f>IF(E334="","",IF(COUNTIF(INDIRECT("PPI_"&amp;CONFIG!$B$4&amp;"!$A:$A"),VALUE(E334))&gt;0,"IN PPI","NOT IN PPI"))</f>
        <v/>
      </c>
      <c r="G334">
        <f>IF(F334="","","-")</f>
        <v/>
      </c>
      <c r="H334">
        <f>IF(INPUT!F334="","",INPUT!F334)</f>
        <v/>
      </c>
      <c r="I334">
        <f>IF(F334="","","N/A")</f>
        <v/>
      </c>
    </row>
    <row r="335" ht="15" customHeight="1">
      <c r="A335">
        <f>IF(INPUT!A335="","",INPUT!A335)</f>
        <v/>
      </c>
      <c r="B335">
        <f>IF(INPUT!B335="","",INPUT!B335)</f>
        <v/>
      </c>
      <c r="C335">
        <f>IF(INPUT!C335="","",INPUT!C335)</f>
        <v/>
      </c>
      <c r="D335">
        <f>IF(INPUT!D335="","",INPUT!D335)</f>
        <v/>
      </c>
      <c r="E335">
        <f>IF(INPUT!E335="","",TEXT(INPUT!E335,"0000000000"))</f>
        <v/>
      </c>
      <c r="F335">
        <f>IF(E335="","",IF(COUNTIF(INDIRECT("PPI_"&amp;CONFIG!$B$4&amp;"!$A:$A"),VALUE(E335))&gt;0,"IN PPI","NOT IN PPI"))</f>
        <v/>
      </c>
      <c r="G335">
        <f>IF(F335="","","-")</f>
        <v/>
      </c>
      <c r="H335">
        <f>IF(INPUT!F335="","",INPUT!F335)</f>
        <v/>
      </c>
      <c r="I335">
        <f>IF(F335="","","N/A")</f>
        <v/>
      </c>
    </row>
    <row r="336" ht="15" customHeight="1">
      <c r="A336">
        <f>IF(INPUT!A336="","",INPUT!A336)</f>
        <v/>
      </c>
      <c r="B336">
        <f>IF(INPUT!B336="","",INPUT!B336)</f>
        <v/>
      </c>
      <c r="C336">
        <f>IF(INPUT!C336="","",INPUT!C336)</f>
        <v/>
      </c>
      <c r="D336">
        <f>IF(INPUT!D336="","",INPUT!D336)</f>
        <v/>
      </c>
      <c r="E336">
        <f>IF(INPUT!E336="","",TEXT(INPUT!E336,"0000000000"))</f>
        <v/>
      </c>
      <c r="F336">
        <f>IF(E336="","",IF(COUNTIF(INDIRECT("PPI_"&amp;CONFIG!$B$4&amp;"!$A:$A"),VALUE(E336))&gt;0,"IN PPI","NOT IN PPI"))</f>
        <v/>
      </c>
      <c r="G336">
        <f>IF(F336="","","-")</f>
        <v/>
      </c>
      <c r="H336">
        <f>IF(INPUT!F336="","",INPUT!F336)</f>
        <v/>
      </c>
      <c r="I336">
        <f>IF(F336="","","N/A")</f>
        <v/>
      </c>
    </row>
    <row r="337" ht="15" customHeight="1">
      <c r="A337">
        <f>IF(INPUT!A337="","",INPUT!A337)</f>
        <v/>
      </c>
      <c r="B337">
        <f>IF(INPUT!B337="","",INPUT!B337)</f>
        <v/>
      </c>
      <c r="C337">
        <f>IF(INPUT!C337="","",INPUT!C337)</f>
        <v/>
      </c>
      <c r="D337">
        <f>IF(INPUT!D337="","",INPUT!D337)</f>
        <v/>
      </c>
      <c r="E337">
        <f>IF(INPUT!E337="","",TEXT(INPUT!E337,"0000000000"))</f>
        <v/>
      </c>
      <c r="F337">
        <f>IF(E337="","",IF(COUNTIF(INDIRECT("PPI_"&amp;CONFIG!$B$4&amp;"!$A:$A"),VALUE(E337))&gt;0,"IN PPI","NOT IN PPI"))</f>
        <v/>
      </c>
      <c r="G337">
        <f>IF(F337="","","-")</f>
        <v/>
      </c>
      <c r="H337">
        <f>IF(INPUT!F337="","",INPUT!F337)</f>
        <v/>
      </c>
      <c r="I337">
        <f>IF(F337="","","N/A")</f>
        <v/>
      </c>
    </row>
    <row r="338" ht="15" customHeight="1">
      <c r="A338">
        <f>IF(INPUT!A338="","",INPUT!A338)</f>
        <v/>
      </c>
      <c r="B338">
        <f>IF(INPUT!B338="","",INPUT!B338)</f>
        <v/>
      </c>
      <c r="C338">
        <f>IF(INPUT!C338="","",INPUT!C338)</f>
        <v/>
      </c>
      <c r="D338">
        <f>IF(INPUT!D338="","",INPUT!D338)</f>
        <v/>
      </c>
      <c r="E338">
        <f>IF(INPUT!E338="","",TEXT(INPUT!E338,"0000000000"))</f>
        <v/>
      </c>
      <c r="F338">
        <f>IF(E338="","",IF(COUNTIF(INDIRECT("PPI_"&amp;CONFIG!$B$4&amp;"!$A:$A"),VALUE(E338))&gt;0,"IN PPI","NOT IN PPI"))</f>
        <v/>
      </c>
      <c r="G338">
        <f>IF(F338="","","-")</f>
        <v/>
      </c>
      <c r="H338">
        <f>IF(INPUT!F338="","",INPUT!F338)</f>
        <v/>
      </c>
      <c r="I338">
        <f>IF(F338="","","N/A")</f>
        <v/>
      </c>
    </row>
    <row r="339" ht="15" customHeight="1">
      <c r="A339">
        <f>IF(INPUT!A339="","",INPUT!A339)</f>
        <v/>
      </c>
      <c r="B339">
        <f>IF(INPUT!B339="","",INPUT!B339)</f>
        <v/>
      </c>
      <c r="C339">
        <f>IF(INPUT!C339="","",INPUT!C339)</f>
        <v/>
      </c>
      <c r="D339">
        <f>IF(INPUT!D339="","",INPUT!D339)</f>
        <v/>
      </c>
      <c r="E339">
        <f>IF(INPUT!E339="","",TEXT(INPUT!E339,"0000000000"))</f>
        <v/>
      </c>
      <c r="F339">
        <f>IF(E339="","",IF(COUNTIF(INDIRECT("PPI_"&amp;CONFIG!$B$4&amp;"!$A:$A"),VALUE(E339))&gt;0,"IN PPI","NOT IN PPI"))</f>
        <v/>
      </c>
      <c r="G339">
        <f>IF(F339="","","-")</f>
        <v/>
      </c>
      <c r="H339">
        <f>IF(INPUT!F339="","",INPUT!F339)</f>
        <v/>
      </c>
      <c r="I339">
        <f>IF(F339="","","N/A")</f>
        <v/>
      </c>
    </row>
    <row r="340" ht="15" customHeight="1">
      <c r="A340">
        <f>IF(INPUT!A340="","",INPUT!A340)</f>
        <v/>
      </c>
      <c r="B340">
        <f>IF(INPUT!B340="","",INPUT!B340)</f>
        <v/>
      </c>
      <c r="C340">
        <f>IF(INPUT!C340="","",INPUT!C340)</f>
        <v/>
      </c>
      <c r="D340">
        <f>IF(INPUT!D340="","",INPUT!D340)</f>
        <v/>
      </c>
      <c r="E340">
        <f>IF(INPUT!E340="","",TEXT(INPUT!E340,"0000000000"))</f>
        <v/>
      </c>
      <c r="F340">
        <f>IF(E340="","",IF(COUNTIF(INDIRECT("PPI_"&amp;CONFIG!$B$4&amp;"!$A:$A"),VALUE(E340))&gt;0,"IN PPI","NOT IN PPI"))</f>
        <v/>
      </c>
      <c r="G340">
        <f>IF(F340="","","-")</f>
        <v/>
      </c>
      <c r="H340">
        <f>IF(INPUT!F340="","",INPUT!F340)</f>
        <v/>
      </c>
      <c r="I340">
        <f>IF(F340="","","N/A")</f>
        <v/>
      </c>
    </row>
    <row r="341" ht="15" customHeight="1">
      <c r="A341">
        <f>IF(INPUT!A341="","",INPUT!A341)</f>
        <v/>
      </c>
      <c r="B341">
        <f>IF(INPUT!B341="","",INPUT!B341)</f>
        <v/>
      </c>
      <c r="C341">
        <f>IF(INPUT!C341="","",INPUT!C341)</f>
        <v/>
      </c>
      <c r="D341">
        <f>IF(INPUT!D341="","",INPUT!D341)</f>
        <v/>
      </c>
      <c r="E341">
        <f>IF(INPUT!E341="","",TEXT(INPUT!E341,"0000000000"))</f>
        <v/>
      </c>
      <c r="F341">
        <f>IF(E341="","",IF(COUNTIF(INDIRECT("PPI_"&amp;CONFIG!$B$4&amp;"!$A:$A"),VALUE(E341))&gt;0,"IN PPI","NOT IN PPI"))</f>
        <v/>
      </c>
      <c r="G341">
        <f>IF(F341="","","-")</f>
        <v/>
      </c>
      <c r="H341">
        <f>IF(INPUT!F341="","",INPUT!F341)</f>
        <v/>
      </c>
      <c r="I341">
        <f>IF(F341="","","N/A")</f>
        <v/>
      </c>
    </row>
    <row r="342" ht="15" customHeight="1">
      <c r="A342">
        <f>IF(INPUT!A342="","",INPUT!A342)</f>
        <v/>
      </c>
      <c r="B342">
        <f>IF(INPUT!B342="","",INPUT!B342)</f>
        <v/>
      </c>
      <c r="C342">
        <f>IF(INPUT!C342="","",INPUT!C342)</f>
        <v/>
      </c>
      <c r="D342">
        <f>IF(INPUT!D342="","",INPUT!D342)</f>
        <v/>
      </c>
      <c r="E342">
        <f>IF(INPUT!E342="","",TEXT(INPUT!E342,"0000000000"))</f>
        <v/>
      </c>
      <c r="F342">
        <f>IF(E342="","",IF(COUNTIF(INDIRECT("PPI_"&amp;CONFIG!$B$4&amp;"!$A:$A"),VALUE(E342))&gt;0,"IN PPI","NOT IN PPI"))</f>
        <v/>
      </c>
      <c r="G342">
        <f>IF(F342="","","-")</f>
        <v/>
      </c>
      <c r="H342">
        <f>IF(INPUT!F342="","",INPUT!F342)</f>
        <v/>
      </c>
      <c r="I342">
        <f>IF(F342="","","N/A")</f>
        <v/>
      </c>
    </row>
    <row r="343" ht="15" customHeight="1">
      <c r="A343">
        <f>IF(INPUT!A343="","",INPUT!A343)</f>
        <v/>
      </c>
      <c r="B343">
        <f>IF(INPUT!B343="","",INPUT!B343)</f>
        <v/>
      </c>
      <c r="C343">
        <f>IF(INPUT!C343="","",INPUT!C343)</f>
        <v/>
      </c>
      <c r="D343">
        <f>IF(INPUT!D343="","",INPUT!D343)</f>
        <v/>
      </c>
      <c r="E343">
        <f>IF(INPUT!E343="","",TEXT(INPUT!E343,"0000000000"))</f>
        <v/>
      </c>
      <c r="F343">
        <f>IF(E343="","",IF(COUNTIF(INDIRECT("PPI_"&amp;CONFIG!$B$4&amp;"!$A:$A"),VALUE(E343))&gt;0,"IN PPI","NOT IN PPI"))</f>
        <v/>
      </c>
      <c r="G343">
        <f>IF(F343="","","-")</f>
        <v/>
      </c>
      <c r="H343">
        <f>IF(INPUT!F343="","",INPUT!F343)</f>
        <v/>
      </c>
      <c r="I343">
        <f>IF(F343="","","N/A")</f>
        <v/>
      </c>
    </row>
    <row r="344" ht="15" customHeight="1">
      <c r="A344">
        <f>IF(INPUT!A344="","",INPUT!A344)</f>
        <v/>
      </c>
      <c r="B344">
        <f>IF(INPUT!B344="","",INPUT!B344)</f>
        <v/>
      </c>
      <c r="C344">
        <f>IF(INPUT!C344="","",INPUT!C344)</f>
        <v/>
      </c>
      <c r="D344">
        <f>IF(INPUT!D344="","",INPUT!D344)</f>
        <v/>
      </c>
      <c r="E344">
        <f>IF(INPUT!E344="","",TEXT(INPUT!E344,"0000000000"))</f>
        <v/>
      </c>
      <c r="F344">
        <f>IF(E344="","",IF(COUNTIF(INDIRECT("PPI_"&amp;CONFIG!$B$4&amp;"!$A:$A"),VALUE(E344))&gt;0,"IN PPI","NOT IN PPI"))</f>
        <v/>
      </c>
      <c r="G344">
        <f>IF(F344="","","-")</f>
        <v/>
      </c>
      <c r="H344">
        <f>IF(INPUT!F344="","",INPUT!F344)</f>
        <v/>
      </c>
      <c r="I344">
        <f>IF(F344="","","N/A")</f>
        <v/>
      </c>
    </row>
    <row r="345" ht="15" customHeight="1">
      <c r="A345">
        <f>IF(INPUT!A345="","",INPUT!A345)</f>
        <v/>
      </c>
      <c r="B345">
        <f>IF(INPUT!B345="","",INPUT!B345)</f>
        <v/>
      </c>
      <c r="C345">
        <f>IF(INPUT!C345="","",INPUT!C345)</f>
        <v/>
      </c>
      <c r="D345">
        <f>IF(INPUT!D345="","",INPUT!D345)</f>
        <v/>
      </c>
      <c r="E345">
        <f>IF(INPUT!E345="","",TEXT(INPUT!E345,"0000000000"))</f>
        <v/>
      </c>
      <c r="F345">
        <f>IF(E345="","",IF(COUNTIF(INDIRECT("PPI_"&amp;CONFIG!$B$4&amp;"!$A:$A"),VALUE(E345))&gt;0,"IN PPI","NOT IN PPI"))</f>
        <v/>
      </c>
      <c r="G345">
        <f>IF(F345="","","-")</f>
        <v/>
      </c>
      <c r="H345">
        <f>IF(INPUT!F345="","",INPUT!F345)</f>
        <v/>
      </c>
      <c r="I345">
        <f>IF(F345="","","N/A")</f>
        <v/>
      </c>
    </row>
    <row r="346" ht="15" customHeight="1">
      <c r="A346">
        <f>IF(INPUT!A346="","",INPUT!A346)</f>
        <v/>
      </c>
      <c r="B346">
        <f>IF(INPUT!B346="","",INPUT!B346)</f>
        <v/>
      </c>
      <c r="C346">
        <f>IF(INPUT!C346="","",INPUT!C346)</f>
        <v/>
      </c>
      <c r="D346">
        <f>IF(INPUT!D346="","",INPUT!D346)</f>
        <v/>
      </c>
      <c r="E346">
        <f>IF(INPUT!E346="","",TEXT(INPUT!E346,"0000000000"))</f>
        <v/>
      </c>
      <c r="F346">
        <f>IF(E346="","",IF(COUNTIF(INDIRECT("PPI_"&amp;CONFIG!$B$4&amp;"!$A:$A"),VALUE(E346))&gt;0,"IN PPI","NOT IN PPI"))</f>
        <v/>
      </c>
      <c r="G346">
        <f>IF(F346="","","-")</f>
        <v/>
      </c>
      <c r="H346">
        <f>IF(INPUT!F346="","",INPUT!F346)</f>
        <v/>
      </c>
      <c r="I346">
        <f>IF(F346="","","N/A")</f>
        <v/>
      </c>
    </row>
    <row r="347" ht="15" customHeight="1">
      <c r="A347">
        <f>IF(INPUT!A347="","",INPUT!A347)</f>
        <v/>
      </c>
      <c r="B347">
        <f>IF(INPUT!B347="","",INPUT!B347)</f>
        <v/>
      </c>
      <c r="C347">
        <f>IF(INPUT!C347="","",INPUT!C347)</f>
        <v/>
      </c>
      <c r="D347">
        <f>IF(INPUT!D347="","",INPUT!D347)</f>
        <v/>
      </c>
      <c r="E347">
        <f>IF(INPUT!E347="","",TEXT(INPUT!E347,"0000000000"))</f>
        <v/>
      </c>
      <c r="F347">
        <f>IF(E347="","",IF(COUNTIF(INDIRECT("PPI_"&amp;CONFIG!$B$4&amp;"!$A:$A"),VALUE(E347))&gt;0,"IN PPI","NOT IN PPI"))</f>
        <v/>
      </c>
      <c r="G347">
        <f>IF(F347="","","-")</f>
        <v/>
      </c>
      <c r="H347">
        <f>IF(INPUT!F347="","",INPUT!F347)</f>
        <v/>
      </c>
      <c r="I347">
        <f>IF(F347="","","N/A")</f>
        <v/>
      </c>
    </row>
    <row r="348" ht="15" customHeight="1">
      <c r="A348">
        <f>IF(INPUT!A348="","",INPUT!A348)</f>
        <v/>
      </c>
      <c r="B348">
        <f>IF(INPUT!B348="","",INPUT!B348)</f>
        <v/>
      </c>
      <c r="C348">
        <f>IF(INPUT!C348="","",INPUT!C348)</f>
        <v/>
      </c>
      <c r="D348">
        <f>IF(INPUT!D348="","",INPUT!D348)</f>
        <v/>
      </c>
      <c r="E348">
        <f>IF(INPUT!E348="","",TEXT(INPUT!E348,"0000000000"))</f>
        <v/>
      </c>
      <c r="F348">
        <f>IF(E348="","",IF(COUNTIF(INDIRECT("PPI_"&amp;CONFIG!$B$4&amp;"!$A:$A"),VALUE(E348))&gt;0,"IN PPI","NOT IN PPI"))</f>
        <v/>
      </c>
      <c r="G348">
        <f>IF(F348="","","-")</f>
        <v/>
      </c>
      <c r="H348">
        <f>IF(INPUT!F348="","",INPUT!F348)</f>
        <v/>
      </c>
      <c r="I348">
        <f>IF(F348="","","N/A")</f>
        <v/>
      </c>
    </row>
    <row r="349" ht="15" customHeight="1">
      <c r="A349">
        <f>IF(INPUT!A349="","",INPUT!A349)</f>
        <v/>
      </c>
      <c r="B349">
        <f>IF(INPUT!B349="","",INPUT!B349)</f>
        <v/>
      </c>
      <c r="C349">
        <f>IF(INPUT!C349="","",INPUT!C349)</f>
        <v/>
      </c>
      <c r="D349">
        <f>IF(INPUT!D349="","",INPUT!D349)</f>
        <v/>
      </c>
      <c r="E349">
        <f>IF(INPUT!E349="","",TEXT(INPUT!E349,"0000000000"))</f>
        <v/>
      </c>
      <c r="F349">
        <f>IF(E349="","",IF(COUNTIF(INDIRECT("PPI_"&amp;CONFIG!$B$4&amp;"!$A:$A"),VALUE(E349))&gt;0,"IN PPI","NOT IN PPI"))</f>
        <v/>
      </c>
      <c r="G349">
        <f>IF(F349="","","-")</f>
        <v/>
      </c>
      <c r="H349">
        <f>IF(INPUT!F349="","",INPUT!F349)</f>
        <v/>
      </c>
      <c r="I349">
        <f>IF(F349="","","N/A")</f>
        <v/>
      </c>
    </row>
    <row r="350" ht="15" customHeight="1">
      <c r="A350">
        <f>IF(INPUT!A350="","",INPUT!A350)</f>
        <v/>
      </c>
      <c r="B350">
        <f>IF(INPUT!B350="","",INPUT!B350)</f>
        <v/>
      </c>
      <c r="C350">
        <f>IF(INPUT!C350="","",INPUT!C350)</f>
        <v/>
      </c>
      <c r="D350">
        <f>IF(INPUT!D350="","",INPUT!D350)</f>
        <v/>
      </c>
      <c r="E350">
        <f>IF(INPUT!E350="","",TEXT(INPUT!E350,"0000000000"))</f>
        <v/>
      </c>
      <c r="F350">
        <f>IF(E350="","",IF(COUNTIF(INDIRECT("PPI_"&amp;CONFIG!$B$4&amp;"!$A:$A"),VALUE(E350))&gt;0,"IN PPI","NOT IN PPI"))</f>
        <v/>
      </c>
      <c r="G350">
        <f>IF(F350="","","-")</f>
        <v/>
      </c>
      <c r="H350">
        <f>IF(INPUT!F350="","",INPUT!F350)</f>
        <v/>
      </c>
      <c r="I350">
        <f>IF(F350="","","N/A")</f>
        <v/>
      </c>
    </row>
    <row r="351" ht="15" customHeight="1">
      <c r="A351">
        <f>IF(INPUT!A351="","",INPUT!A351)</f>
        <v/>
      </c>
      <c r="B351">
        <f>IF(INPUT!B351="","",INPUT!B351)</f>
        <v/>
      </c>
      <c r="C351">
        <f>IF(INPUT!C351="","",INPUT!C351)</f>
        <v/>
      </c>
      <c r="D351">
        <f>IF(INPUT!D351="","",INPUT!D351)</f>
        <v/>
      </c>
      <c r="E351">
        <f>IF(INPUT!E351="","",TEXT(INPUT!E351,"0000000000"))</f>
        <v/>
      </c>
      <c r="F351">
        <f>IF(E351="","",IF(COUNTIF(INDIRECT("PPI_"&amp;CONFIG!$B$4&amp;"!$A:$A"),VALUE(E351))&gt;0,"IN PPI","NOT IN PPI"))</f>
        <v/>
      </c>
      <c r="G351">
        <f>IF(F351="","","-")</f>
        <v/>
      </c>
      <c r="H351">
        <f>IF(INPUT!F351="","",INPUT!F351)</f>
        <v/>
      </c>
      <c r="I351">
        <f>IF(F351="","","N/A")</f>
        <v/>
      </c>
    </row>
    <row r="352" ht="15" customHeight="1">
      <c r="A352">
        <f>IF(INPUT!A352="","",INPUT!A352)</f>
        <v/>
      </c>
      <c r="B352">
        <f>IF(INPUT!B352="","",INPUT!B352)</f>
        <v/>
      </c>
      <c r="C352">
        <f>IF(INPUT!C352="","",INPUT!C352)</f>
        <v/>
      </c>
      <c r="D352">
        <f>IF(INPUT!D352="","",INPUT!D352)</f>
        <v/>
      </c>
      <c r="E352">
        <f>IF(INPUT!E352="","",TEXT(INPUT!E352,"0000000000"))</f>
        <v/>
      </c>
      <c r="F352">
        <f>IF(E352="","",IF(COUNTIF(INDIRECT("PPI_"&amp;CONFIG!$B$4&amp;"!$A:$A"),VALUE(E352))&gt;0,"IN PPI","NOT IN PPI"))</f>
        <v/>
      </c>
      <c r="G352">
        <f>IF(F352="","","-")</f>
        <v/>
      </c>
      <c r="H352">
        <f>IF(INPUT!F352="","",INPUT!F352)</f>
        <v/>
      </c>
      <c r="I352">
        <f>IF(F352="","","N/A")</f>
        <v/>
      </c>
    </row>
    <row r="353" ht="15" customHeight="1">
      <c r="A353">
        <f>IF(INPUT!A353="","",INPUT!A353)</f>
        <v/>
      </c>
      <c r="B353">
        <f>IF(INPUT!B353="","",INPUT!B353)</f>
        <v/>
      </c>
      <c r="C353">
        <f>IF(INPUT!C353="","",INPUT!C353)</f>
        <v/>
      </c>
      <c r="D353">
        <f>IF(INPUT!D353="","",INPUT!D353)</f>
        <v/>
      </c>
      <c r="E353">
        <f>IF(INPUT!E353="","",TEXT(INPUT!E353,"0000000000"))</f>
        <v/>
      </c>
      <c r="F353">
        <f>IF(E353="","",IF(COUNTIF(INDIRECT("PPI_"&amp;CONFIG!$B$4&amp;"!$A:$A"),VALUE(E353))&gt;0,"IN PPI","NOT IN PPI"))</f>
        <v/>
      </c>
      <c r="G353">
        <f>IF(F353="","","-")</f>
        <v/>
      </c>
      <c r="H353">
        <f>IF(INPUT!F353="","",INPUT!F353)</f>
        <v/>
      </c>
      <c r="I353">
        <f>IF(F353="","","N/A")</f>
        <v/>
      </c>
    </row>
    <row r="354" ht="15" customHeight="1">
      <c r="A354">
        <f>IF(INPUT!A354="","",INPUT!A354)</f>
        <v/>
      </c>
      <c r="B354">
        <f>IF(INPUT!B354="","",INPUT!B354)</f>
        <v/>
      </c>
      <c r="C354">
        <f>IF(INPUT!C354="","",INPUT!C354)</f>
        <v/>
      </c>
      <c r="D354">
        <f>IF(INPUT!D354="","",INPUT!D354)</f>
        <v/>
      </c>
      <c r="E354">
        <f>IF(INPUT!E354="","",TEXT(INPUT!E354,"0000000000"))</f>
        <v/>
      </c>
      <c r="F354">
        <f>IF(E354="","",IF(COUNTIF(INDIRECT("PPI_"&amp;CONFIG!$B$4&amp;"!$A:$A"),VALUE(E354))&gt;0,"IN PPI","NOT IN PPI"))</f>
        <v/>
      </c>
      <c r="G354">
        <f>IF(F354="","","-")</f>
        <v/>
      </c>
      <c r="H354">
        <f>IF(INPUT!F354="","",INPUT!F354)</f>
        <v/>
      </c>
      <c r="I354">
        <f>IF(F354="","","N/A")</f>
        <v/>
      </c>
    </row>
    <row r="355" ht="15" customHeight="1">
      <c r="A355">
        <f>IF(INPUT!A355="","",INPUT!A355)</f>
        <v/>
      </c>
      <c r="B355">
        <f>IF(INPUT!B355="","",INPUT!B355)</f>
        <v/>
      </c>
      <c r="C355">
        <f>IF(INPUT!C355="","",INPUT!C355)</f>
        <v/>
      </c>
      <c r="D355">
        <f>IF(INPUT!D355="","",INPUT!D355)</f>
        <v/>
      </c>
      <c r="E355">
        <f>IF(INPUT!E355="","",TEXT(INPUT!E355,"0000000000"))</f>
        <v/>
      </c>
      <c r="F355">
        <f>IF(E355="","",IF(COUNTIF(INDIRECT("PPI_"&amp;CONFIG!$B$4&amp;"!$A:$A"),VALUE(E355))&gt;0,"IN PPI","NOT IN PPI"))</f>
        <v/>
      </c>
      <c r="G355">
        <f>IF(F355="","","-")</f>
        <v/>
      </c>
      <c r="H355">
        <f>IF(INPUT!F355="","",INPUT!F355)</f>
        <v/>
      </c>
      <c r="I355">
        <f>IF(F355="","","N/A")</f>
        <v/>
      </c>
    </row>
    <row r="356" ht="15" customHeight="1">
      <c r="A356">
        <f>IF(INPUT!A356="","",INPUT!A356)</f>
        <v/>
      </c>
      <c r="B356">
        <f>IF(INPUT!B356="","",INPUT!B356)</f>
        <v/>
      </c>
      <c r="C356">
        <f>IF(INPUT!C356="","",INPUT!C356)</f>
        <v/>
      </c>
      <c r="D356">
        <f>IF(INPUT!D356="","",INPUT!D356)</f>
        <v/>
      </c>
      <c r="E356">
        <f>IF(INPUT!E356="","",TEXT(INPUT!E356,"0000000000"))</f>
        <v/>
      </c>
      <c r="F356">
        <f>IF(E356="","",IF(COUNTIF(INDIRECT("PPI_"&amp;CONFIG!$B$4&amp;"!$A:$A"),VALUE(E356))&gt;0,"IN PPI","NOT IN PPI"))</f>
        <v/>
      </c>
      <c r="G356">
        <f>IF(F356="","","-")</f>
        <v/>
      </c>
      <c r="H356">
        <f>IF(INPUT!F356="","",INPUT!F356)</f>
        <v/>
      </c>
      <c r="I356">
        <f>IF(F356="","","N/A")</f>
        <v/>
      </c>
    </row>
    <row r="357" ht="15" customHeight="1">
      <c r="A357">
        <f>IF(INPUT!A357="","",INPUT!A357)</f>
        <v/>
      </c>
      <c r="B357">
        <f>IF(INPUT!B357="","",INPUT!B357)</f>
        <v/>
      </c>
      <c r="C357">
        <f>IF(INPUT!C357="","",INPUT!C357)</f>
        <v/>
      </c>
      <c r="D357">
        <f>IF(INPUT!D357="","",INPUT!D357)</f>
        <v/>
      </c>
      <c r="E357">
        <f>IF(INPUT!E357="","",TEXT(INPUT!E357,"0000000000"))</f>
        <v/>
      </c>
      <c r="F357">
        <f>IF(E357="","",IF(COUNTIF(INDIRECT("PPI_"&amp;CONFIG!$B$4&amp;"!$A:$A"),VALUE(E357))&gt;0,"IN PPI","NOT IN PPI"))</f>
        <v/>
      </c>
      <c r="G357">
        <f>IF(F357="","","-")</f>
        <v/>
      </c>
      <c r="H357">
        <f>IF(INPUT!F357="","",INPUT!F357)</f>
        <v/>
      </c>
      <c r="I357">
        <f>IF(F357="","","N/A")</f>
        <v/>
      </c>
    </row>
    <row r="358" ht="15" customHeight="1">
      <c r="A358">
        <f>IF(INPUT!A358="","",INPUT!A358)</f>
        <v/>
      </c>
      <c r="B358">
        <f>IF(INPUT!B358="","",INPUT!B358)</f>
        <v/>
      </c>
      <c r="C358">
        <f>IF(INPUT!C358="","",INPUT!C358)</f>
        <v/>
      </c>
      <c r="D358">
        <f>IF(INPUT!D358="","",INPUT!D358)</f>
        <v/>
      </c>
      <c r="E358">
        <f>IF(INPUT!E358="","",TEXT(INPUT!E358,"0000000000"))</f>
        <v/>
      </c>
      <c r="F358">
        <f>IF(E358="","",IF(COUNTIF(INDIRECT("PPI_"&amp;CONFIG!$B$4&amp;"!$A:$A"),VALUE(E358))&gt;0,"IN PPI","NOT IN PPI"))</f>
        <v/>
      </c>
      <c r="G358">
        <f>IF(F358="","","-")</f>
        <v/>
      </c>
      <c r="H358">
        <f>IF(INPUT!F358="","",INPUT!F358)</f>
        <v/>
      </c>
      <c r="I358">
        <f>IF(F358="","","N/A")</f>
        <v/>
      </c>
    </row>
    <row r="359" ht="15" customHeight="1">
      <c r="A359">
        <f>IF(INPUT!A359="","",INPUT!A359)</f>
        <v/>
      </c>
      <c r="B359">
        <f>IF(INPUT!B359="","",INPUT!B359)</f>
        <v/>
      </c>
      <c r="C359">
        <f>IF(INPUT!C359="","",INPUT!C359)</f>
        <v/>
      </c>
      <c r="D359">
        <f>IF(INPUT!D359="","",INPUT!D359)</f>
        <v/>
      </c>
      <c r="E359">
        <f>IF(INPUT!E359="","",TEXT(INPUT!E359,"0000000000"))</f>
        <v/>
      </c>
      <c r="F359">
        <f>IF(E359="","",IF(COUNTIF(INDIRECT("PPI_"&amp;CONFIG!$B$4&amp;"!$A:$A"),VALUE(E359))&gt;0,"IN PPI","NOT IN PPI"))</f>
        <v/>
      </c>
      <c r="G359">
        <f>IF(F359="","","-")</f>
        <v/>
      </c>
      <c r="H359">
        <f>IF(INPUT!F359="","",INPUT!F359)</f>
        <v/>
      </c>
      <c r="I359">
        <f>IF(F359="","","N/A")</f>
        <v/>
      </c>
    </row>
    <row r="360" ht="15" customHeight="1">
      <c r="A360">
        <f>IF(INPUT!A360="","",INPUT!A360)</f>
        <v/>
      </c>
      <c r="B360">
        <f>IF(INPUT!B360="","",INPUT!B360)</f>
        <v/>
      </c>
      <c r="C360">
        <f>IF(INPUT!C360="","",INPUT!C360)</f>
        <v/>
      </c>
      <c r="D360">
        <f>IF(INPUT!D360="","",INPUT!D360)</f>
        <v/>
      </c>
      <c r="E360">
        <f>IF(INPUT!E360="","",TEXT(INPUT!E360,"0000000000"))</f>
        <v/>
      </c>
      <c r="F360">
        <f>IF(E360="","",IF(COUNTIF(INDIRECT("PPI_"&amp;CONFIG!$B$4&amp;"!$A:$A"),VALUE(E360))&gt;0,"IN PPI","NOT IN PPI"))</f>
        <v/>
      </c>
      <c r="G360">
        <f>IF(F360="","","-")</f>
        <v/>
      </c>
      <c r="H360">
        <f>IF(INPUT!F360="","",INPUT!F360)</f>
        <v/>
      </c>
      <c r="I360">
        <f>IF(F360="","","N/A")</f>
        <v/>
      </c>
    </row>
    <row r="361" ht="15" customHeight="1">
      <c r="A361">
        <f>IF(INPUT!A361="","",INPUT!A361)</f>
        <v/>
      </c>
      <c r="B361">
        <f>IF(INPUT!B361="","",INPUT!B361)</f>
        <v/>
      </c>
      <c r="C361">
        <f>IF(INPUT!C361="","",INPUT!C361)</f>
        <v/>
      </c>
      <c r="D361">
        <f>IF(INPUT!D361="","",INPUT!D361)</f>
        <v/>
      </c>
      <c r="E361">
        <f>IF(INPUT!E361="","",TEXT(INPUT!E361,"0000000000"))</f>
        <v/>
      </c>
      <c r="F361">
        <f>IF(E361="","",IF(COUNTIF(INDIRECT("PPI_"&amp;CONFIG!$B$4&amp;"!$A:$A"),VALUE(E361))&gt;0,"IN PPI","NOT IN PPI"))</f>
        <v/>
      </c>
      <c r="G361">
        <f>IF(F361="","","-")</f>
        <v/>
      </c>
      <c r="H361">
        <f>IF(INPUT!F361="","",INPUT!F361)</f>
        <v/>
      </c>
      <c r="I361">
        <f>IF(F361="","","N/A")</f>
        <v/>
      </c>
    </row>
    <row r="362" ht="15" customHeight="1">
      <c r="A362">
        <f>IF(INPUT!A362="","",INPUT!A362)</f>
        <v/>
      </c>
      <c r="B362">
        <f>IF(INPUT!B362="","",INPUT!B362)</f>
        <v/>
      </c>
      <c r="C362">
        <f>IF(INPUT!C362="","",INPUT!C362)</f>
        <v/>
      </c>
      <c r="D362">
        <f>IF(INPUT!D362="","",INPUT!D362)</f>
        <v/>
      </c>
      <c r="E362">
        <f>IF(INPUT!E362="","",TEXT(INPUT!E362,"0000000000"))</f>
        <v/>
      </c>
      <c r="F362">
        <f>IF(E362="","",IF(COUNTIF(INDIRECT("PPI_"&amp;CONFIG!$B$4&amp;"!$A:$A"),VALUE(E362))&gt;0,"IN PPI","NOT IN PPI"))</f>
        <v/>
      </c>
      <c r="G362">
        <f>IF(F362="","","-")</f>
        <v/>
      </c>
      <c r="H362">
        <f>IF(INPUT!F362="","",INPUT!F362)</f>
        <v/>
      </c>
      <c r="I362">
        <f>IF(F362="","","N/A")</f>
        <v/>
      </c>
    </row>
    <row r="363" ht="15" customHeight="1">
      <c r="A363">
        <f>IF(INPUT!A363="","",INPUT!A363)</f>
        <v/>
      </c>
      <c r="B363">
        <f>IF(INPUT!B363="","",INPUT!B363)</f>
        <v/>
      </c>
      <c r="C363">
        <f>IF(INPUT!C363="","",INPUT!C363)</f>
        <v/>
      </c>
      <c r="D363">
        <f>IF(INPUT!D363="","",INPUT!D363)</f>
        <v/>
      </c>
      <c r="E363">
        <f>IF(INPUT!E363="","",TEXT(INPUT!E363,"0000000000"))</f>
        <v/>
      </c>
      <c r="F363">
        <f>IF(E363="","",IF(COUNTIF(INDIRECT("PPI_"&amp;CONFIG!$B$4&amp;"!$A:$A"),VALUE(E363))&gt;0,"IN PPI","NOT IN PPI"))</f>
        <v/>
      </c>
      <c r="G363">
        <f>IF(F363="","","-")</f>
        <v/>
      </c>
      <c r="H363">
        <f>IF(INPUT!F363="","",INPUT!F363)</f>
        <v/>
      </c>
      <c r="I363">
        <f>IF(F363="","","N/A")</f>
        <v/>
      </c>
    </row>
    <row r="364" ht="15" customHeight="1">
      <c r="A364">
        <f>IF(INPUT!A364="","",INPUT!A364)</f>
        <v/>
      </c>
      <c r="B364">
        <f>IF(INPUT!B364="","",INPUT!B364)</f>
        <v/>
      </c>
      <c r="C364">
        <f>IF(INPUT!C364="","",INPUT!C364)</f>
        <v/>
      </c>
      <c r="D364">
        <f>IF(INPUT!D364="","",INPUT!D364)</f>
        <v/>
      </c>
      <c r="E364">
        <f>IF(INPUT!E364="","",TEXT(INPUT!E364,"0000000000"))</f>
        <v/>
      </c>
      <c r="F364">
        <f>IF(E364="","",IF(COUNTIF(INDIRECT("PPI_"&amp;CONFIG!$B$4&amp;"!$A:$A"),VALUE(E364))&gt;0,"IN PPI","NOT IN PPI"))</f>
        <v/>
      </c>
      <c r="G364">
        <f>IF(F364="","","-")</f>
        <v/>
      </c>
      <c r="H364">
        <f>IF(INPUT!F364="","",INPUT!F364)</f>
        <v/>
      </c>
      <c r="I364">
        <f>IF(F364="","","N/A")</f>
        <v/>
      </c>
    </row>
    <row r="365" ht="15" customHeight="1">
      <c r="A365">
        <f>IF(INPUT!A365="","",INPUT!A365)</f>
        <v/>
      </c>
      <c r="B365">
        <f>IF(INPUT!B365="","",INPUT!B365)</f>
        <v/>
      </c>
      <c r="C365">
        <f>IF(INPUT!C365="","",INPUT!C365)</f>
        <v/>
      </c>
      <c r="D365">
        <f>IF(INPUT!D365="","",INPUT!D365)</f>
        <v/>
      </c>
      <c r="E365">
        <f>IF(INPUT!E365="","",TEXT(INPUT!E365,"0000000000"))</f>
        <v/>
      </c>
      <c r="F365">
        <f>IF(E365="","",IF(COUNTIF(INDIRECT("PPI_"&amp;CONFIG!$B$4&amp;"!$A:$A"),VALUE(E365))&gt;0,"IN PPI","NOT IN PPI"))</f>
        <v/>
      </c>
      <c r="G365">
        <f>IF(F365="","","-")</f>
        <v/>
      </c>
      <c r="H365">
        <f>IF(INPUT!F365="","",INPUT!F365)</f>
        <v/>
      </c>
      <c r="I365">
        <f>IF(F365="","","N/A")</f>
        <v/>
      </c>
    </row>
    <row r="366" ht="15" customHeight="1">
      <c r="A366">
        <f>IF(INPUT!A366="","",INPUT!A366)</f>
        <v/>
      </c>
      <c r="B366">
        <f>IF(INPUT!B366="","",INPUT!B366)</f>
        <v/>
      </c>
      <c r="C366">
        <f>IF(INPUT!C366="","",INPUT!C366)</f>
        <v/>
      </c>
      <c r="D366">
        <f>IF(INPUT!D366="","",INPUT!D366)</f>
        <v/>
      </c>
      <c r="E366">
        <f>IF(INPUT!E366="","",TEXT(INPUT!E366,"0000000000"))</f>
        <v/>
      </c>
      <c r="F366">
        <f>IF(E366="","",IF(COUNTIF(INDIRECT("PPI_"&amp;CONFIG!$B$4&amp;"!$A:$A"),VALUE(E366))&gt;0,"IN PPI","NOT IN PPI"))</f>
        <v/>
      </c>
      <c r="G366">
        <f>IF(F366="","","-")</f>
        <v/>
      </c>
      <c r="H366">
        <f>IF(INPUT!F366="","",INPUT!F366)</f>
        <v/>
      </c>
      <c r="I366">
        <f>IF(F366="","","N/A")</f>
        <v/>
      </c>
    </row>
    <row r="367" ht="15" customHeight="1">
      <c r="A367">
        <f>IF(INPUT!A367="","",INPUT!A367)</f>
        <v/>
      </c>
      <c r="B367">
        <f>IF(INPUT!B367="","",INPUT!B367)</f>
        <v/>
      </c>
      <c r="C367">
        <f>IF(INPUT!C367="","",INPUT!C367)</f>
        <v/>
      </c>
      <c r="D367">
        <f>IF(INPUT!D367="","",INPUT!D367)</f>
        <v/>
      </c>
      <c r="E367">
        <f>IF(INPUT!E367="","",TEXT(INPUT!E367,"0000000000"))</f>
        <v/>
      </c>
      <c r="F367">
        <f>IF(E367="","",IF(COUNTIF(INDIRECT("PPI_"&amp;CONFIG!$B$4&amp;"!$A:$A"),VALUE(E367))&gt;0,"IN PPI","NOT IN PPI"))</f>
        <v/>
      </c>
      <c r="G367">
        <f>IF(F367="","","-")</f>
        <v/>
      </c>
      <c r="H367">
        <f>IF(INPUT!F367="","",INPUT!F367)</f>
        <v/>
      </c>
      <c r="I367">
        <f>IF(F367="","","N/A")</f>
        <v/>
      </c>
    </row>
    <row r="368" ht="15" customHeight="1">
      <c r="A368">
        <f>IF(INPUT!A368="","",INPUT!A368)</f>
        <v/>
      </c>
      <c r="B368">
        <f>IF(INPUT!B368="","",INPUT!B368)</f>
        <v/>
      </c>
      <c r="C368">
        <f>IF(INPUT!C368="","",INPUT!C368)</f>
        <v/>
      </c>
      <c r="D368">
        <f>IF(INPUT!D368="","",INPUT!D368)</f>
        <v/>
      </c>
      <c r="E368">
        <f>IF(INPUT!E368="","",TEXT(INPUT!E368,"0000000000"))</f>
        <v/>
      </c>
      <c r="F368">
        <f>IF(E368="","",IF(COUNTIF(INDIRECT("PPI_"&amp;CONFIG!$B$4&amp;"!$A:$A"),VALUE(E368))&gt;0,"IN PPI","NOT IN PPI"))</f>
        <v/>
      </c>
      <c r="G368">
        <f>IF(F368="","","-")</f>
        <v/>
      </c>
      <c r="H368">
        <f>IF(INPUT!F368="","",INPUT!F368)</f>
        <v/>
      </c>
      <c r="I368">
        <f>IF(F368="","","N/A")</f>
        <v/>
      </c>
    </row>
    <row r="369" ht="15" customHeight="1">
      <c r="A369">
        <f>IF(INPUT!A369="","",INPUT!A369)</f>
        <v/>
      </c>
      <c r="B369">
        <f>IF(INPUT!B369="","",INPUT!B369)</f>
        <v/>
      </c>
      <c r="C369">
        <f>IF(INPUT!C369="","",INPUT!C369)</f>
        <v/>
      </c>
      <c r="D369">
        <f>IF(INPUT!D369="","",INPUT!D369)</f>
        <v/>
      </c>
      <c r="E369">
        <f>IF(INPUT!E369="","",TEXT(INPUT!E369,"0000000000"))</f>
        <v/>
      </c>
      <c r="F369">
        <f>IF(E369="","",IF(COUNTIF(INDIRECT("PPI_"&amp;CONFIG!$B$4&amp;"!$A:$A"),VALUE(E369))&gt;0,"IN PPI","NOT IN PPI"))</f>
        <v/>
      </c>
      <c r="G369">
        <f>IF(F369="","","-")</f>
        <v/>
      </c>
      <c r="H369">
        <f>IF(INPUT!F369="","",INPUT!F369)</f>
        <v/>
      </c>
      <c r="I369">
        <f>IF(F369="","","N/A")</f>
        <v/>
      </c>
    </row>
    <row r="370" ht="15" customHeight="1">
      <c r="A370">
        <f>IF(INPUT!A370="","",INPUT!A370)</f>
        <v/>
      </c>
      <c r="B370">
        <f>IF(INPUT!B370="","",INPUT!B370)</f>
        <v/>
      </c>
      <c r="C370">
        <f>IF(INPUT!C370="","",INPUT!C370)</f>
        <v/>
      </c>
      <c r="D370">
        <f>IF(INPUT!D370="","",INPUT!D370)</f>
        <v/>
      </c>
      <c r="E370">
        <f>IF(INPUT!E370="","",TEXT(INPUT!E370,"0000000000"))</f>
        <v/>
      </c>
      <c r="F370">
        <f>IF(E370="","",IF(COUNTIF(INDIRECT("PPI_"&amp;CONFIG!$B$4&amp;"!$A:$A"),VALUE(E370))&gt;0,"IN PPI","NOT IN PPI"))</f>
        <v/>
      </c>
      <c r="G370">
        <f>IF(F370="","","-")</f>
        <v/>
      </c>
      <c r="H370">
        <f>IF(INPUT!F370="","",INPUT!F370)</f>
        <v/>
      </c>
      <c r="I370">
        <f>IF(F370="","","N/A")</f>
        <v/>
      </c>
    </row>
    <row r="371" ht="15" customHeight="1">
      <c r="A371">
        <f>IF(INPUT!A371="","",INPUT!A371)</f>
        <v/>
      </c>
      <c r="B371">
        <f>IF(INPUT!B371="","",INPUT!B371)</f>
        <v/>
      </c>
      <c r="C371">
        <f>IF(INPUT!C371="","",INPUT!C371)</f>
        <v/>
      </c>
      <c r="D371">
        <f>IF(INPUT!D371="","",INPUT!D371)</f>
        <v/>
      </c>
      <c r="E371">
        <f>IF(INPUT!E371="","",TEXT(INPUT!E371,"0000000000"))</f>
        <v/>
      </c>
      <c r="F371">
        <f>IF(E371="","",IF(COUNTIF(INDIRECT("PPI_"&amp;CONFIG!$B$4&amp;"!$A:$A"),VALUE(E371))&gt;0,"IN PPI","NOT IN PPI"))</f>
        <v/>
      </c>
      <c r="G371">
        <f>IF(F371="","","-")</f>
        <v/>
      </c>
      <c r="H371">
        <f>IF(INPUT!F371="","",INPUT!F371)</f>
        <v/>
      </c>
      <c r="I371">
        <f>IF(F371="","","N/A")</f>
        <v/>
      </c>
    </row>
    <row r="372" ht="15" customHeight="1">
      <c r="A372">
        <f>IF(INPUT!A372="","",INPUT!A372)</f>
        <v/>
      </c>
      <c r="B372">
        <f>IF(INPUT!B372="","",INPUT!B372)</f>
        <v/>
      </c>
      <c r="C372">
        <f>IF(INPUT!C372="","",INPUT!C372)</f>
        <v/>
      </c>
      <c r="D372">
        <f>IF(INPUT!D372="","",INPUT!D372)</f>
        <v/>
      </c>
      <c r="E372">
        <f>IF(INPUT!E372="","",TEXT(INPUT!E372,"0000000000"))</f>
        <v/>
      </c>
      <c r="F372">
        <f>IF(E372="","",IF(COUNTIF(INDIRECT("PPI_"&amp;CONFIG!$B$4&amp;"!$A:$A"),VALUE(E372))&gt;0,"IN PPI","NOT IN PPI"))</f>
        <v/>
      </c>
      <c r="G372">
        <f>IF(F372="","","-")</f>
        <v/>
      </c>
      <c r="H372">
        <f>IF(INPUT!F372="","",INPUT!F372)</f>
        <v/>
      </c>
      <c r="I372">
        <f>IF(F372="","","N/A")</f>
        <v/>
      </c>
    </row>
    <row r="373" ht="15" customHeight="1">
      <c r="A373">
        <f>IF(INPUT!A373="","",INPUT!A373)</f>
        <v/>
      </c>
      <c r="B373">
        <f>IF(INPUT!B373="","",INPUT!B373)</f>
        <v/>
      </c>
      <c r="C373">
        <f>IF(INPUT!C373="","",INPUT!C373)</f>
        <v/>
      </c>
      <c r="D373">
        <f>IF(INPUT!D373="","",INPUT!D373)</f>
        <v/>
      </c>
      <c r="E373">
        <f>IF(INPUT!E373="","",TEXT(INPUT!E373,"0000000000"))</f>
        <v/>
      </c>
      <c r="F373">
        <f>IF(E373="","",IF(COUNTIF(INDIRECT("PPI_"&amp;CONFIG!$B$4&amp;"!$A:$A"),VALUE(E373))&gt;0,"IN PPI","NOT IN PPI"))</f>
        <v/>
      </c>
      <c r="G373">
        <f>IF(F373="","","-")</f>
        <v/>
      </c>
      <c r="H373">
        <f>IF(INPUT!F373="","",INPUT!F373)</f>
        <v/>
      </c>
      <c r="I373">
        <f>IF(F373="","","N/A")</f>
        <v/>
      </c>
    </row>
    <row r="374" ht="15" customHeight="1">
      <c r="A374">
        <f>IF(INPUT!A374="","",INPUT!A374)</f>
        <v/>
      </c>
      <c r="B374">
        <f>IF(INPUT!B374="","",INPUT!B374)</f>
        <v/>
      </c>
      <c r="C374">
        <f>IF(INPUT!C374="","",INPUT!C374)</f>
        <v/>
      </c>
      <c r="D374">
        <f>IF(INPUT!D374="","",INPUT!D374)</f>
        <v/>
      </c>
      <c r="E374">
        <f>IF(INPUT!E374="","",TEXT(INPUT!E374,"0000000000"))</f>
        <v/>
      </c>
      <c r="F374">
        <f>IF(E374="","",IF(COUNTIF(INDIRECT("PPI_"&amp;CONFIG!$B$4&amp;"!$A:$A"),VALUE(E374))&gt;0,"IN PPI","NOT IN PPI"))</f>
        <v/>
      </c>
      <c r="G374">
        <f>IF(F374="","","-")</f>
        <v/>
      </c>
      <c r="H374">
        <f>IF(INPUT!F374="","",INPUT!F374)</f>
        <v/>
      </c>
      <c r="I374">
        <f>IF(F374="","","N/A")</f>
        <v/>
      </c>
    </row>
    <row r="375" ht="15" customHeight="1">
      <c r="A375">
        <f>IF(INPUT!A375="","",INPUT!A375)</f>
        <v/>
      </c>
      <c r="B375">
        <f>IF(INPUT!B375="","",INPUT!B375)</f>
        <v/>
      </c>
      <c r="C375">
        <f>IF(INPUT!C375="","",INPUT!C375)</f>
        <v/>
      </c>
      <c r="D375">
        <f>IF(INPUT!D375="","",INPUT!D375)</f>
        <v/>
      </c>
      <c r="E375">
        <f>IF(INPUT!E375="","",TEXT(INPUT!E375,"0000000000"))</f>
        <v/>
      </c>
      <c r="F375">
        <f>IF(E375="","",IF(COUNTIF(INDIRECT("PPI_"&amp;CONFIG!$B$4&amp;"!$A:$A"),VALUE(E375))&gt;0,"IN PPI","NOT IN PPI"))</f>
        <v/>
      </c>
      <c r="G375">
        <f>IF(F375="","","-")</f>
        <v/>
      </c>
      <c r="H375">
        <f>IF(INPUT!F375="","",INPUT!F375)</f>
        <v/>
      </c>
      <c r="I375">
        <f>IF(F375="","","N/A")</f>
        <v/>
      </c>
    </row>
    <row r="376" ht="15" customHeight="1">
      <c r="A376">
        <f>IF(INPUT!A376="","",INPUT!A376)</f>
        <v/>
      </c>
      <c r="B376">
        <f>IF(INPUT!B376="","",INPUT!B376)</f>
        <v/>
      </c>
      <c r="C376">
        <f>IF(INPUT!C376="","",INPUT!C376)</f>
        <v/>
      </c>
      <c r="D376">
        <f>IF(INPUT!D376="","",INPUT!D376)</f>
        <v/>
      </c>
      <c r="E376">
        <f>IF(INPUT!E376="","",TEXT(INPUT!E376,"0000000000"))</f>
        <v/>
      </c>
      <c r="F376">
        <f>IF(E376="","",IF(COUNTIF(INDIRECT("PPI_"&amp;CONFIG!$B$4&amp;"!$A:$A"),VALUE(E376))&gt;0,"IN PPI","NOT IN PPI"))</f>
        <v/>
      </c>
      <c r="G376">
        <f>IF(F376="","","-")</f>
        <v/>
      </c>
      <c r="H376">
        <f>IF(INPUT!F376="","",INPUT!F376)</f>
        <v/>
      </c>
      <c r="I376">
        <f>IF(F376="","","N/A")</f>
        <v/>
      </c>
    </row>
    <row r="377" ht="15" customHeight="1">
      <c r="A377">
        <f>IF(INPUT!A377="","",INPUT!A377)</f>
        <v/>
      </c>
      <c r="B377">
        <f>IF(INPUT!B377="","",INPUT!B377)</f>
        <v/>
      </c>
      <c r="C377">
        <f>IF(INPUT!C377="","",INPUT!C377)</f>
        <v/>
      </c>
      <c r="D377">
        <f>IF(INPUT!D377="","",INPUT!D377)</f>
        <v/>
      </c>
      <c r="E377">
        <f>IF(INPUT!E377="","",TEXT(INPUT!E377,"0000000000"))</f>
        <v/>
      </c>
      <c r="F377">
        <f>IF(E377="","",IF(COUNTIF(INDIRECT("PPI_"&amp;CONFIG!$B$4&amp;"!$A:$A"),VALUE(E377))&gt;0,"IN PPI","NOT IN PPI"))</f>
        <v/>
      </c>
      <c r="G377">
        <f>IF(F377="","","-")</f>
        <v/>
      </c>
      <c r="H377">
        <f>IF(INPUT!F377="","",INPUT!F377)</f>
        <v/>
      </c>
      <c r="I377">
        <f>IF(F377="","","N/A")</f>
        <v/>
      </c>
    </row>
    <row r="378" ht="15" customHeight="1">
      <c r="A378">
        <f>IF(INPUT!A378="","",INPUT!A378)</f>
        <v/>
      </c>
      <c r="B378">
        <f>IF(INPUT!B378="","",INPUT!B378)</f>
        <v/>
      </c>
      <c r="C378">
        <f>IF(INPUT!C378="","",INPUT!C378)</f>
        <v/>
      </c>
      <c r="D378">
        <f>IF(INPUT!D378="","",INPUT!D378)</f>
        <v/>
      </c>
      <c r="E378">
        <f>IF(INPUT!E378="","",TEXT(INPUT!E378,"0000000000"))</f>
        <v/>
      </c>
      <c r="F378">
        <f>IF(E378="","",IF(COUNTIF(INDIRECT("PPI_"&amp;CONFIG!$B$4&amp;"!$A:$A"),VALUE(E378))&gt;0,"IN PPI","NOT IN PPI"))</f>
        <v/>
      </c>
      <c r="G378">
        <f>IF(F378="","","-")</f>
        <v/>
      </c>
      <c r="H378">
        <f>IF(INPUT!F378="","",INPUT!F378)</f>
        <v/>
      </c>
      <c r="I378">
        <f>IF(F378="","","N/A")</f>
        <v/>
      </c>
    </row>
    <row r="379" ht="15" customHeight="1">
      <c r="A379">
        <f>IF(INPUT!A379="","",INPUT!A379)</f>
        <v/>
      </c>
      <c r="B379">
        <f>IF(INPUT!B379="","",INPUT!B379)</f>
        <v/>
      </c>
      <c r="C379">
        <f>IF(INPUT!C379="","",INPUT!C379)</f>
        <v/>
      </c>
      <c r="D379">
        <f>IF(INPUT!D379="","",INPUT!D379)</f>
        <v/>
      </c>
      <c r="E379">
        <f>IF(INPUT!E379="","",TEXT(INPUT!E379,"0000000000"))</f>
        <v/>
      </c>
      <c r="F379">
        <f>IF(E379="","",IF(COUNTIF(INDIRECT("PPI_"&amp;CONFIG!$B$4&amp;"!$A:$A"),VALUE(E379))&gt;0,"IN PPI","NOT IN PPI"))</f>
        <v/>
      </c>
      <c r="G379">
        <f>IF(F379="","","-")</f>
        <v/>
      </c>
      <c r="H379">
        <f>IF(INPUT!F379="","",INPUT!F379)</f>
        <v/>
      </c>
      <c r="I379">
        <f>IF(F379="","","N/A")</f>
        <v/>
      </c>
    </row>
    <row r="380" ht="15" customHeight="1">
      <c r="A380">
        <f>IF(INPUT!A380="","",INPUT!A380)</f>
        <v/>
      </c>
      <c r="B380">
        <f>IF(INPUT!B380="","",INPUT!B380)</f>
        <v/>
      </c>
      <c r="C380">
        <f>IF(INPUT!C380="","",INPUT!C380)</f>
        <v/>
      </c>
      <c r="D380">
        <f>IF(INPUT!D380="","",INPUT!D380)</f>
        <v/>
      </c>
      <c r="E380">
        <f>IF(INPUT!E380="","",TEXT(INPUT!E380,"0000000000"))</f>
        <v/>
      </c>
      <c r="F380">
        <f>IF(E380="","",IF(COUNTIF(INDIRECT("PPI_"&amp;CONFIG!$B$4&amp;"!$A:$A"),VALUE(E380))&gt;0,"IN PPI","NOT IN PPI"))</f>
        <v/>
      </c>
      <c r="G380">
        <f>IF(F380="","","-")</f>
        <v/>
      </c>
      <c r="H380">
        <f>IF(INPUT!F380="","",INPUT!F380)</f>
        <v/>
      </c>
      <c r="I380">
        <f>IF(F380="","","N/A")</f>
        <v/>
      </c>
    </row>
    <row r="381" ht="15" customHeight="1">
      <c r="A381">
        <f>IF(INPUT!A381="","",INPUT!A381)</f>
        <v/>
      </c>
      <c r="B381">
        <f>IF(INPUT!B381="","",INPUT!B381)</f>
        <v/>
      </c>
      <c r="C381">
        <f>IF(INPUT!C381="","",INPUT!C381)</f>
        <v/>
      </c>
      <c r="D381">
        <f>IF(INPUT!D381="","",INPUT!D381)</f>
        <v/>
      </c>
      <c r="E381">
        <f>IF(INPUT!E381="","",TEXT(INPUT!E381,"0000000000"))</f>
        <v/>
      </c>
      <c r="F381">
        <f>IF(E381="","",IF(COUNTIF(INDIRECT("PPI_"&amp;CONFIG!$B$4&amp;"!$A:$A"),VALUE(E381))&gt;0,"IN PPI","NOT IN PPI"))</f>
        <v/>
      </c>
      <c r="G381">
        <f>IF(F381="","","-")</f>
        <v/>
      </c>
      <c r="H381">
        <f>IF(INPUT!F381="","",INPUT!F381)</f>
        <v/>
      </c>
      <c r="I381">
        <f>IF(F381="","","N/A")</f>
        <v/>
      </c>
    </row>
    <row r="382" ht="15" customHeight="1">
      <c r="A382">
        <f>IF(INPUT!A382="","",INPUT!A382)</f>
        <v/>
      </c>
      <c r="B382">
        <f>IF(INPUT!B382="","",INPUT!B382)</f>
        <v/>
      </c>
      <c r="C382">
        <f>IF(INPUT!C382="","",INPUT!C382)</f>
        <v/>
      </c>
      <c r="D382">
        <f>IF(INPUT!D382="","",INPUT!D382)</f>
        <v/>
      </c>
      <c r="E382">
        <f>IF(INPUT!E382="","",TEXT(INPUT!E382,"0000000000"))</f>
        <v/>
      </c>
      <c r="F382">
        <f>IF(E382="","",IF(COUNTIF(INDIRECT("PPI_"&amp;CONFIG!$B$4&amp;"!$A:$A"),VALUE(E382))&gt;0,"IN PPI","NOT IN PPI"))</f>
        <v/>
      </c>
      <c r="G382">
        <f>IF(F382="","","-")</f>
        <v/>
      </c>
      <c r="H382">
        <f>IF(INPUT!F382="","",INPUT!F382)</f>
        <v/>
      </c>
      <c r="I382">
        <f>IF(F382="","","N/A")</f>
        <v/>
      </c>
    </row>
    <row r="383" ht="15" customHeight="1">
      <c r="A383">
        <f>IF(INPUT!A383="","",INPUT!A383)</f>
        <v/>
      </c>
      <c r="B383">
        <f>IF(INPUT!B383="","",INPUT!B383)</f>
        <v/>
      </c>
      <c r="C383">
        <f>IF(INPUT!C383="","",INPUT!C383)</f>
        <v/>
      </c>
      <c r="D383">
        <f>IF(INPUT!D383="","",INPUT!D383)</f>
        <v/>
      </c>
      <c r="E383">
        <f>IF(INPUT!E383="","",TEXT(INPUT!E383,"0000000000"))</f>
        <v/>
      </c>
      <c r="F383">
        <f>IF(E383="","",IF(COUNTIF(INDIRECT("PPI_"&amp;CONFIG!$B$4&amp;"!$A:$A"),VALUE(E383))&gt;0,"IN PPI","NOT IN PPI"))</f>
        <v/>
      </c>
      <c r="G383">
        <f>IF(F383="","","-")</f>
        <v/>
      </c>
      <c r="H383">
        <f>IF(INPUT!F383="","",INPUT!F383)</f>
        <v/>
      </c>
      <c r="I383">
        <f>IF(F383="","","N/A")</f>
        <v/>
      </c>
    </row>
    <row r="384" ht="15" customHeight="1">
      <c r="A384">
        <f>IF(INPUT!A384="","",INPUT!A384)</f>
        <v/>
      </c>
      <c r="B384">
        <f>IF(INPUT!B384="","",INPUT!B384)</f>
        <v/>
      </c>
      <c r="C384">
        <f>IF(INPUT!C384="","",INPUT!C384)</f>
        <v/>
      </c>
      <c r="D384">
        <f>IF(INPUT!D384="","",INPUT!D384)</f>
        <v/>
      </c>
      <c r="E384">
        <f>IF(INPUT!E384="","",TEXT(INPUT!E384,"0000000000"))</f>
        <v/>
      </c>
      <c r="F384">
        <f>IF(E384="","",IF(COUNTIF(INDIRECT("PPI_"&amp;CONFIG!$B$4&amp;"!$A:$A"),VALUE(E384))&gt;0,"IN PPI","NOT IN PPI"))</f>
        <v/>
      </c>
      <c r="G384">
        <f>IF(F384="","","-")</f>
        <v/>
      </c>
      <c r="H384">
        <f>IF(INPUT!F384="","",INPUT!F384)</f>
        <v/>
      </c>
      <c r="I384">
        <f>IF(F384="","","N/A")</f>
        <v/>
      </c>
    </row>
    <row r="385" ht="15" customHeight="1">
      <c r="A385">
        <f>IF(INPUT!A385="","",INPUT!A385)</f>
        <v/>
      </c>
      <c r="B385">
        <f>IF(INPUT!B385="","",INPUT!B385)</f>
        <v/>
      </c>
      <c r="C385">
        <f>IF(INPUT!C385="","",INPUT!C385)</f>
        <v/>
      </c>
      <c r="D385">
        <f>IF(INPUT!D385="","",INPUT!D385)</f>
        <v/>
      </c>
      <c r="E385">
        <f>IF(INPUT!E385="","",TEXT(INPUT!E385,"0000000000"))</f>
        <v/>
      </c>
      <c r="F385">
        <f>IF(E385="","",IF(COUNTIF(INDIRECT("PPI_"&amp;CONFIG!$B$4&amp;"!$A:$A"),VALUE(E385))&gt;0,"IN PPI","NOT IN PPI"))</f>
        <v/>
      </c>
      <c r="G385">
        <f>IF(F385="","","-")</f>
        <v/>
      </c>
      <c r="H385">
        <f>IF(INPUT!F385="","",INPUT!F385)</f>
        <v/>
      </c>
      <c r="I385">
        <f>IF(F385="","","N/A")</f>
        <v/>
      </c>
    </row>
    <row r="386" ht="15" customHeight="1">
      <c r="A386">
        <f>IF(INPUT!A386="","",INPUT!A386)</f>
        <v/>
      </c>
      <c r="B386">
        <f>IF(INPUT!B386="","",INPUT!B386)</f>
        <v/>
      </c>
      <c r="C386">
        <f>IF(INPUT!C386="","",INPUT!C386)</f>
        <v/>
      </c>
      <c r="D386">
        <f>IF(INPUT!D386="","",INPUT!D386)</f>
        <v/>
      </c>
      <c r="E386">
        <f>IF(INPUT!E386="","",TEXT(INPUT!E386,"0000000000"))</f>
        <v/>
      </c>
      <c r="F386">
        <f>IF(E386="","",IF(COUNTIF(INDIRECT("PPI_"&amp;CONFIG!$B$4&amp;"!$A:$A"),VALUE(E386))&gt;0,"IN PPI","NOT IN PPI"))</f>
        <v/>
      </c>
      <c r="G386">
        <f>IF(F386="","","-")</f>
        <v/>
      </c>
      <c r="H386">
        <f>IF(INPUT!F386="","",INPUT!F386)</f>
        <v/>
      </c>
      <c r="I386">
        <f>IF(F386="","","N/A")</f>
        <v/>
      </c>
    </row>
    <row r="387" ht="15" customHeight="1">
      <c r="A387">
        <f>IF(INPUT!A387="","",INPUT!A387)</f>
        <v/>
      </c>
      <c r="B387">
        <f>IF(INPUT!B387="","",INPUT!B387)</f>
        <v/>
      </c>
      <c r="C387">
        <f>IF(INPUT!C387="","",INPUT!C387)</f>
        <v/>
      </c>
      <c r="D387">
        <f>IF(INPUT!D387="","",INPUT!D387)</f>
        <v/>
      </c>
      <c r="E387">
        <f>IF(INPUT!E387="","",TEXT(INPUT!E387,"0000000000"))</f>
        <v/>
      </c>
      <c r="F387">
        <f>IF(E387="","",IF(COUNTIF(INDIRECT("PPI_"&amp;CONFIG!$B$4&amp;"!$A:$A"),VALUE(E387))&gt;0,"IN PPI","NOT IN PPI"))</f>
        <v/>
      </c>
      <c r="G387">
        <f>IF(F387="","","-")</f>
        <v/>
      </c>
      <c r="H387">
        <f>IF(INPUT!F387="","",INPUT!F387)</f>
        <v/>
      </c>
      <c r="I387">
        <f>IF(F387="","","N/A")</f>
        <v/>
      </c>
    </row>
    <row r="388" ht="15" customHeight="1">
      <c r="A388">
        <f>IF(INPUT!A388="","",INPUT!A388)</f>
        <v/>
      </c>
      <c r="B388">
        <f>IF(INPUT!B388="","",INPUT!B388)</f>
        <v/>
      </c>
      <c r="C388">
        <f>IF(INPUT!C388="","",INPUT!C388)</f>
        <v/>
      </c>
      <c r="D388">
        <f>IF(INPUT!D388="","",INPUT!D388)</f>
        <v/>
      </c>
      <c r="E388">
        <f>IF(INPUT!E388="","",TEXT(INPUT!E388,"0000000000"))</f>
        <v/>
      </c>
      <c r="F388">
        <f>IF(E388="","",IF(COUNTIF(INDIRECT("PPI_"&amp;CONFIG!$B$4&amp;"!$A:$A"),VALUE(E388))&gt;0,"IN PPI","NOT IN PPI"))</f>
        <v/>
      </c>
      <c r="G388">
        <f>IF(F388="","","-")</f>
        <v/>
      </c>
      <c r="H388">
        <f>IF(INPUT!F388="","",INPUT!F388)</f>
        <v/>
      </c>
      <c r="I388">
        <f>IF(F388="","","N/A")</f>
        <v/>
      </c>
    </row>
    <row r="389" ht="15" customHeight="1">
      <c r="A389">
        <f>IF(INPUT!A389="","",INPUT!A389)</f>
        <v/>
      </c>
      <c r="B389">
        <f>IF(INPUT!B389="","",INPUT!B389)</f>
        <v/>
      </c>
      <c r="C389">
        <f>IF(INPUT!C389="","",INPUT!C389)</f>
        <v/>
      </c>
      <c r="D389">
        <f>IF(INPUT!D389="","",INPUT!D389)</f>
        <v/>
      </c>
      <c r="E389">
        <f>IF(INPUT!E389="","",TEXT(INPUT!E389,"0000000000"))</f>
        <v/>
      </c>
      <c r="F389">
        <f>IF(E389="","",IF(COUNTIF(INDIRECT("PPI_"&amp;CONFIG!$B$4&amp;"!$A:$A"),VALUE(E389))&gt;0,"IN PPI","NOT IN PPI"))</f>
        <v/>
      </c>
      <c r="G389">
        <f>IF(F389="","","-")</f>
        <v/>
      </c>
      <c r="H389">
        <f>IF(INPUT!F389="","",INPUT!F389)</f>
        <v/>
      </c>
      <c r="I389">
        <f>IF(F389="","","N/A")</f>
        <v/>
      </c>
    </row>
    <row r="390" ht="15" customHeight="1">
      <c r="A390">
        <f>IF(INPUT!A390="","",INPUT!A390)</f>
        <v/>
      </c>
      <c r="B390">
        <f>IF(INPUT!B390="","",INPUT!B390)</f>
        <v/>
      </c>
      <c r="C390">
        <f>IF(INPUT!C390="","",INPUT!C390)</f>
        <v/>
      </c>
      <c r="D390">
        <f>IF(INPUT!D390="","",INPUT!D390)</f>
        <v/>
      </c>
      <c r="E390">
        <f>IF(INPUT!E390="","",TEXT(INPUT!E390,"0000000000"))</f>
        <v/>
      </c>
      <c r="F390">
        <f>IF(E390="","",IF(COUNTIF(INDIRECT("PPI_"&amp;CONFIG!$B$4&amp;"!$A:$A"),VALUE(E390))&gt;0,"IN PPI","NOT IN PPI"))</f>
        <v/>
      </c>
      <c r="G390">
        <f>IF(F390="","","-")</f>
        <v/>
      </c>
      <c r="H390">
        <f>IF(INPUT!F390="","",INPUT!F390)</f>
        <v/>
      </c>
      <c r="I390">
        <f>IF(F390="","","N/A")</f>
        <v/>
      </c>
    </row>
    <row r="391" ht="15" customHeight="1">
      <c r="A391">
        <f>IF(INPUT!A391="","",INPUT!A391)</f>
        <v/>
      </c>
      <c r="B391">
        <f>IF(INPUT!B391="","",INPUT!B391)</f>
        <v/>
      </c>
      <c r="C391">
        <f>IF(INPUT!C391="","",INPUT!C391)</f>
        <v/>
      </c>
      <c r="D391">
        <f>IF(INPUT!D391="","",INPUT!D391)</f>
        <v/>
      </c>
      <c r="E391">
        <f>IF(INPUT!E391="","",TEXT(INPUT!E391,"0000000000"))</f>
        <v/>
      </c>
      <c r="F391">
        <f>IF(E391="","",IF(COUNTIF(INDIRECT("PPI_"&amp;CONFIG!$B$4&amp;"!$A:$A"),VALUE(E391))&gt;0,"IN PPI","NOT IN PPI"))</f>
        <v/>
      </c>
      <c r="G391">
        <f>IF(F391="","","-")</f>
        <v/>
      </c>
      <c r="H391">
        <f>IF(INPUT!F391="","",INPUT!F391)</f>
        <v/>
      </c>
      <c r="I391">
        <f>IF(F391="","","N/A")</f>
        <v/>
      </c>
    </row>
    <row r="392" ht="15" customHeight="1">
      <c r="A392">
        <f>IF(INPUT!A392="","",INPUT!A392)</f>
        <v/>
      </c>
      <c r="B392">
        <f>IF(INPUT!B392="","",INPUT!B392)</f>
        <v/>
      </c>
      <c r="C392">
        <f>IF(INPUT!C392="","",INPUT!C392)</f>
        <v/>
      </c>
      <c r="D392">
        <f>IF(INPUT!D392="","",INPUT!D392)</f>
        <v/>
      </c>
      <c r="E392">
        <f>IF(INPUT!E392="","",TEXT(INPUT!E392,"0000000000"))</f>
        <v/>
      </c>
      <c r="F392">
        <f>IF(E392="","",IF(COUNTIF(INDIRECT("PPI_"&amp;CONFIG!$B$4&amp;"!$A:$A"),VALUE(E392))&gt;0,"IN PPI","NOT IN PPI"))</f>
        <v/>
      </c>
      <c r="G392">
        <f>IF(F392="","","-")</f>
        <v/>
      </c>
      <c r="H392">
        <f>IF(INPUT!F392="","",INPUT!F392)</f>
        <v/>
      </c>
      <c r="I392">
        <f>IF(F392="","","N/A")</f>
        <v/>
      </c>
    </row>
    <row r="393" ht="15" customHeight="1">
      <c r="A393">
        <f>IF(INPUT!A393="","",INPUT!A393)</f>
        <v/>
      </c>
      <c r="B393">
        <f>IF(INPUT!B393="","",INPUT!B393)</f>
        <v/>
      </c>
      <c r="C393">
        <f>IF(INPUT!C393="","",INPUT!C393)</f>
        <v/>
      </c>
      <c r="D393">
        <f>IF(INPUT!D393="","",INPUT!D393)</f>
        <v/>
      </c>
      <c r="E393">
        <f>IF(INPUT!E393="","",TEXT(INPUT!E393,"0000000000"))</f>
        <v/>
      </c>
      <c r="F393">
        <f>IF(E393="","",IF(COUNTIF(INDIRECT("PPI_"&amp;CONFIG!$B$4&amp;"!$A:$A"),VALUE(E393))&gt;0,"IN PPI","NOT IN PPI"))</f>
        <v/>
      </c>
      <c r="G393">
        <f>IF(F393="","","-")</f>
        <v/>
      </c>
      <c r="H393">
        <f>IF(INPUT!F393="","",INPUT!F393)</f>
        <v/>
      </c>
      <c r="I393">
        <f>IF(F393="","","N/A")</f>
        <v/>
      </c>
    </row>
    <row r="394" ht="15" customHeight="1">
      <c r="A394">
        <f>IF(INPUT!A394="","",INPUT!A394)</f>
        <v/>
      </c>
      <c r="B394">
        <f>IF(INPUT!B394="","",INPUT!B394)</f>
        <v/>
      </c>
      <c r="C394">
        <f>IF(INPUT!C394="","",INPUT!C394)</f>
        <v/>
      </c>
      <c r="D394">
        <f>IF(INPUT!D394="","",INPUT!D394)</f>
        <v/>
      </c>
      <c r="E394">
        <f>IF(INPUT!E394="","",TEXT(INPUT!E394,"0000000000"))</f>
        <v/>
      </c>
      <c r="F394">
        <f>IF(E394="","",IF(COUNTIF(INDIRECT("PPI_"&amp;CONFIG!$B$4&amp;"!$A:$A"),VALUE(E394))&gt;0,"IN PPI","NOT IN PPI"))</f>
        <v/>
      </c>
      <c r="G394">
        <f>IF(F394="","","-")</f>
        <v/>
      </c>
      <c r="H394">
        <f>IF(INPUT!F394="","",INPUT!F394)</f>
        <v/>
      </c>
      <c r="I394">
        <f>IF(F394="","","N/A")</f>
        <v/>
      </c>
    </row>
    <row r="395" ht="15" customHeight="1">
      <c r="A395">
        <f>IF(INPUT!A395="","",INPUT!A395)</f>
        <v/>
      </c>
      <c r="B395">
        <f>IF(INPUT!B395="","",INPUT!B395)</f>
        <v/>
      </c>
      <c r="C395">
        <f>IF(INPUT!C395="","",INPUT!C395)</f>
        <v/>
      </c>
      <c r="D395">
        <f>IF(INPUT!D395="","",INPUT!D395)</f>
        <v/>
      </c>
      <c r="E395">
        <f>IF(INPUT!E395="","",TEXT(INPUT!E395,"0000000000"))</f>
        <v/>
      </c>
      <c r="F395">
        <f>IF(E395="","",IF(COUNTIF(INDIRECT("PPI_"&amp;CONFIG!$B$4&amp;"!$A:$A"),VALUE(E395))&gt;0,"IN PPI","NOT IN PPI"))</f>
        <v/>
      </c>
      <c r="G395">
        <f>IF(F395="","","-")</f>
        <v/>
      </c>
      <c r="H395">
        <f>IF(INPUT!F395="","",INPUT!F395)</f>
        <v/>
      </c>
      <c r="I395">
        <f>IF(F395="","","N/A")</f>
        <v/>
      </c>
    </row>
    <row r="396" ht="15" customHeight="1">
      <c r="A396">
        <f>IF(INPUT!A396="","",INPUT!A396)</f>
        <v/>
      </c>
      <c r="B396">
        <f>IF(INPUT!B396="","",INPUT!B396)</f>
        <v/>
      </c>
      <c r="C396">
        <f>IF(INPUT!C396="","",INPUT!C396)</f>
        <v/>
      </c>
      <c r="D396">
        <f>IF(INPUT!D396="","",INPUT!D396)</f>
        <v/>
      </c>
      <c r="E396">
        <f>IF(INPUT!E396="","",TEXT(INPUT!E396,"0000000000"))</f>
        <v/>
      </c>
      <c r="F396">
        <f>IF(E396="","",IF(COUNTIF(INDIRECT("PPI_"&amp;CONFIG!$B$4&amp;"!$A:$A"),VALUE(E396))&gt;0,"IN PPI","NOT IN PPI"))</f>
        <v/>
      </c>
      <c r="G396">
        <f>IF(F396="","","-")</f>
        <v/>
      </c>
      <c r="H396">
        <f>IF(INPUT!F396="","",INPUT!F396)</f>
        <v/>
      </c>
      <c r="I396">
        <f>IF(F396="","","N/A")</f>
        <v/>
      </c>
    </row>
    <row r="397" ht="15" customHeight="1">
      <c r="A397">
        <f>IF(INPUT!A397="","",INPUT!A397)</f>
        <v/>
      </c>
      <c r="B397">
        <f>IF(INPUT!B397="","",INPUT!B397)</f>
        <v/>
      </c>
      <c r="C397">
        <f>IF(INPUT!C397="","",INPUT!C397)</f>
        <v/>
      </c>
      <c r="D397">
        <f>IF(INPUT!D397="","",INPUT!D397)</f>
        <v/>
      </c>
      <c r="E397">
        <f>IF(INPUT!E397="","",TEXT(INPUT!E397,"0000000000"))</f>
        <v/>
      </c>
      <c r="F397">
        <f>IF(E397="","",IF(COUNTIF(INDIRECT("PPI_"&amp;CONFIG!$B$4&amp;"!$A:$A"),VALUE(E397))&gt;0,"IN PPI","NOT IN PPI"))</f>
        <v/>
      </c>
      <c r="G397">
        <f>IF(F397="","","-")</f>
        <v/>
      </c>
      <c r="H397">
        <f>IF(INPUT!F397="","",INPUT!F397)</f>
        <v/>
      </c>
      <c r="I397">
        <f>IF(F397="","","N/A")</f>
        <v/>
      </c>
    </row>
    <row r="398" ht="15" customHeight="1">
      <c r="A398">
        <f>IF(INPUT!A398="","",INPUT!A398)</f>
        <v/>
      </c>
      <c r="B398">
        <f>IF(INPUT!B398="","",INPUT!B398)</f>
        <v/>
      </c>
      <c r="C398">
        <f>IF(INPUT!C398="","",INPUT!C398)</f>
        <v/>
      </c>
      <c r="D398">
        <f>IF(INPUT!D398="","",INPUT!D398)</f>
        <v/>
      </c>
      <c r="E398">
        <f>IF(INPUT!E398="","",TEXT(INPUT!E398,"0000000000"))</f>
        <v/>
      </c>
      <c r="F398">
        <f>IF(E398="","",IF(COUNTIF(INDIRECT("PPI_"&amp;CONFIG!$B$4&amp;"!$A:$A"),VALUE(E398))&gt;0,"IN PPI","NOT IN PPI"))</f>
        <v/>
      </c>
      <c r="G398">
        <f>IF(F398="","","-")</f>
        <v/>
      </c>
      <c r="H398">
        <f>IF(INPUT!F398="","",INPUT!F398)</f>
        <v/>
      </c>
      <c r="I398">
        <f>IF(F398="","","N/A")</f>
        <v/>
      </c>
    </row>
    <row r="399" ht="15" customHeight="1">
      <c r="A399">
        <f>IF(INPUT!A399="","",INPUT!A399)</f>
        <v/>
      </c>
      <c r="B399">
        <f>IF(INPUT!B399="","",INPUT!B399)</f>
        <v/>
      </c>
      <c r="C399">
        <f>IF(INPUT!C399="","",INPUT!C399)</f>
        <v/>
      </c>
      <c r="D399">
        <f>IF(INPUT!D399="","",INPUT!D399)</f>
        <v/>
      </c>
      <c r="E399">
        <f>IF(INPUT!E399="","",TEXT(INPUT!E399,"0000000000"))</f>
        <v/>
      </c>
      <c r="F399">
        <f>IF(E399="","",IF(COUNTIF(INDIRECT("PPI_"&amp;CONFIG!$B$4&amp;"!$A:$A"),VALUE(E399))&gt;0,"IN PPI","NOT IN PPI"))</f>
        <v/>
      </c>
      <c r="G399">
        <f>IF(F399="","","-")</f>
        <v/>
      </c>
      <c r="H399">
        <f>IF(INPUT!F399="","",INPUT!F399)</f>
        <v/>
      </c>
      <c r="I399">
        <f>IF(F399="","","N/A")</f>
        <v/>
      </c>
    </row>
    <row r="400" ht="15" customHeight="1">
      <c r="A400">
        <f>IF(INPUT!A400="","",INPUT!A400)</f>
        <v/>
      </c>
      <c r="B400">
        <f>IF(INPUT!B400="","",INPUT!B400)</f>
        <v/>
      </c>
      <c r="C400">
        <f>IF(INPUT!C400="","",INPUT!C400)</f>
        <v/>
      </c>
      <c r="D400">
        <f>IF(INPUT!D400="","",INPUT!D400)</f>
        <v/>
      </c>
      <c r="E400">
        <f>IF(INPUT!E400="","",TEXT(INPUT!E400,"0000000000"))</f>
        <v/>
      </c>
      <c r="F400">
        <f>IF(E400="","",IF(COUNTIF(INDIRECT("PPI_"&amp;CONFIG!$B$4&amp;"!$A:$A"),VALUE(E400))&gt;0,"IN PPI","NOT IN PPI"))</f>
        <v/>
      </c>
      <c r="G400">
        <f>IF(F400="","","-")</f>
        <v/>
      </c>
      <c r="H400">
        <f>IF(INPUT!F400="","",INPUT!F400)</f>
        <v/>
      </c>
      <c r="I400">
        <f>IF(F400="","","N/A")</f>
        <v/>
      </c>
    </row>
    <row r="401" ht="15" customHeight="1">
      <c r="A401">
        <f>IF(INPUT!A401="","",INPUT!A401)</f>
        <v/>
      </c>
      <c r="B401">
        <f>IF(INPUT!B401="","",INPUT!B401)</f>
        <v/>
      </c>
      <c r="C401">
        <f>IF(INPUT!C401="","",INPUT!C401)</f>
        <v/>
      </c>
      <c r="D401">
        <f>IF(INPUT!D401="","",INPUT!D401)</f>
        <v/>
      </c>
      <c r="E401">
        <f>IF(INPUT!E401="","",TEXT(INPUT!E401,"0000000000"))</f>
        <v/>
      </c>
      <c r="F401">
        <f>IF(E401="","",IF(COUNTIF(INDIRECT("PPI_"&amp;CONFIG!$B$4&amp;"!$A:$A"),VALUE(E401))&gt;0,"IN PPI","NOT IN PPI"))</f>
        <v/>
      </c>
      <c r="G401">
        <f>IF(F401="","","-")</f>
        <v/>
      </c>
      <c r="H401">
        <f>IF(INPUT!F401="","",INPUT!F401)</f>
        <v/>
      </c>
      <c r="I401">
        <f>IF(F401="","","N/A")</f>
        <v/>
      </c>
    </row>
    <row r="402" ht="15" customHeight="1">
      <c r="A402">
        <f>IF(INPUT!A402="","",INPUT!A402)</f>
        <v/>
      </c>
      <c r="B402">
        <f>IF(INPUT!B402="","",INPUT!B402)</f>
        <v/>
      </c>
      <c r="C402">
        <f>IF(INPUT!C402="","",INPUT!C402)</f>
        <v/>
      </c>
      <c r="D402">
        <f>IF(INPUT!D402="","",INPUT!D402)</f>
        <v/>
      </c>
      <c r="E402">
        <f>IF(INPUT!E402="","",TEXT(INPUT!E402,"0000000000"))</f>
        <v/>
      </c>
      <c r="F402">
        <f>IF(E402="","",IF(COUNTIF(INDIRECT("PPI_"&amp;CONFIG!$B$4&amp;"!$A:$A"),VALUE(E402))&gt;0,"IN PPI","NOT IN PPI"))</f>
        <v/>
      </c>
      <c r="G402">
        <f>IF(F402="","","-")</f>
        <v/>
      </c>
      <c r="H402">
        <f>IF(INPUT!F402="","",INPUT!F402)</f>
        <v/>
      </c>
      <c r="I402">
        <f>IF(F402="","","N/A")</f>
        <v/>
      </c>
    </row>
    <row r="403" ht="15" customHeight="1">
      <c r="A403">
        <f>IF(INPUT!A403="","",INPUT!A403)</f>
        <v/>
      </c>
      <c r="B403">
        <f>IF(INPUT!B403="","",INPUT!B403)</f>
        <v/>
      </c>
      <c r="C403">
        <f>IF(INPUT!C403="","",INPUT!C403)</f>
        <v/>
      </c>
      <c r="D403">
        <f>IF(INPUT!D403="","",INPUT!D403)</f>
        <v/>
      </c>
      <c r="E403">
        <f>IF(INPUT!E403="","",TEXT(INPUT!E403,"0000000000"))</f>
        <v/>
      </c>
      <c r="F403">
        <f>IF(E403="","",IF(COUNTIF(INDIRECT("PPI_"&amp;CONFIG!$B$4&amp;"!$A:$A"),VALUE(E403))&gt;0,"IN PPI","NOT IN PPI"))</f>
        <v/>
      </c>
      <c r="G403">
        <f>IF(F403="","","-")</f>
        <v/>
      </c>
      <c r="H403">
        <f>IF(INPUT!F403="","",INPUT!F403)</f>
        <v/>
      </c>
      <c r="I403">
        <f>IF(F403="","","N/A")</f>
        <v/>
      </c>
    </row>
    <row r="404" ht="15" customHeight="1">
      <c r="A404">
        <f>IF(INPUT!A404="","",INPUT!A404)</f>
        <v/>
      </c>
      <c r="B404">
        <f>IF(INPUT!B404="","",INPUT!B404)</f>
        <v/>
      </c>
      <c r="C404">
        <f>IF(INPUT!C404="","",INPUT!C404)</f>
        <v/>
      </c>
      <c r="D404">
        <f>IF(INPUT!D404="","",INPUT!D404)</f>
        <v/>
      </c>
      <c r="E404">
        <f>IF(INPUT!E404="","",TEXT(INPUT!E404,"0000000000"))</f>
        <v/>
      </c>
      <c r="F404">
        <f>IF(E404="","",IF(COUNTIF(INDIRECT("PPI_"&amp;CONFIG!$B$4&amp;"!$A:$A"),VALUE(E404))&gt;0,"IN PPI","NOT IN PPI"))</f>
        <v/>
      </c>
      <c r="G404">
        <f>IF(F404="","","-")</f>
        <v/>
      </c>
      <c r="H404">
        <f>IF(INPUT!F404="","",INPUT!F404)</f>
        <v/>
      </c>
      <c r="I404">
        <f>IF(F404="","","N/A")</f>
        <v/>
      </c>
    </row>
    <row r="405" ht="15" customHeight="1">
      <c r="A405">
        <f>IF(INPUT!A405="","",INPUT!A405)</f>
        <v/>
      </c>
      <c r="B405">
        <f>IF(INPUT!B405="","",INPUT!B405)</f>
        <v/>
      </c>
      <c r="C405">
        <f>IF(INPUT!C405="","",INPUT!C405)</f>
        <v/>
      </c>
      <c r="D405">
        <f>IF(INPUT!D405="","",INPUT!D405)</f>
        <v/>
      </c>
      <c r="E405">
        <f>IF(INPUT!E405="","",TEXT(INPUT!E405,"0000000000"))</f>
        <v/>
      </c>
      <c r="F405">
        <f>IF(E405="","",IF(COUNTIF(INDIRECT("PPI_"&amp;CONFIG!$B$4&amp;"!$A:$A"),VALUE(E405))&gt;0,"IN PPI","NOT IN PPI"))</f>
        <v/>
      </c>
      <c r="G405">
        <f>IF(F405="","","-")</f>
        <v/>
      </c>
      <c r="H405">
        <f>IF(INPUT!F405="","",INPUT!F405)</f>
        <v/>
      </c>
      <c r="I405">
        <f>IF(F405="","","N/A")</f>
        <v/>
      </c>
    </row>
    <row r="406" ht="15" customHeight="1">
      <c r="A406">
        <f>IF(INPUT!A406="","",INPUT!A406)</f>
        <v/>
      </c>
      <c r="B406">
        <f>IF(INPUT!B406="","",INPUT!B406)</f>
        <v/>
      </c>
      <c r="C406">
        <f>IF(INPUT!C406="","",INPUT!C406)</f>
        <v/>
      </c>
      <c r="D406">
        <f>IF(INPUT!D406="","",INPUT!D406)</f>
        <v/>
      </c>
      <c r="E406">
        <f>IF(INPUT!E406="","",TEXT(INPUT!E406,"0000000000"))</f>
        <v/>
      </c>
      <c r="F406">
        <f>IF(E406="","",IF(COUNTIF(INDIRECT("PPI_"&amp;CONFIG!$B$4&amp;"!$A:$A"),VALUE(E406))&gt;0,"IN PPI","NOT IN PPI"))</f>
        <v/>
      </c>
      <c r="G406">
        <f>IF(F406="","","-")</f>
        <v/>
      </c>
      <c r="H406">
        <f>IF(INPUT!F406="","",INPUT!F406)</f>
        <v/>
      </c>
      <c r="I406">
        <f>IF(F406="","","N/A")</f>
        <v/>
      </c>
    </row>
    <row r="407" ht="15" customHeight="1">
      <c r="A407">
        <f>IF(INPUT!A407="","",INPUT!A407)</f>
        <v/>
      </c>
      <c r="B407">
        <f>IF(INPUT!B407="","",INPUT!B407)</f>
        <v/>
      </c>
      <c r="C407">
        <f>IF(INPUT!C407="","",INPUT!C407)</f>
        <v/>
      </c>
      <c r="D407">
        <f>IF(INPUT!D407="","",INPUT!D407)</f>
        <v/>
      </c>
      <c r="E407">
        <f>IF(INPUT!E407="","",TEXT(INPUT!E407,"0000000000"))</f>
        <v/>
      </c>
      <c r="F407">
        <f>IF(E407="","",IF(COUNTIF(INDIRECT("PPI_"&amp;CONFIG!$B$4&amp;"!$A:$A"),VALUE(E407))&gt;0,"IN PPI","NOT IN PPI"))</f>
        <v/>
      </c>
      <c r="G407">
        <f>IF(F407="","","-")</f>
        <v/>
      </c>
      <c r="H407">
        <f>IF(INPUT!F407="","",INPUT!F407)</f>
        <v/>
      </c>
      <c r="I407">
        <f>IF(F407="","","N/A")</f>
        <v/>
      </c>
    </row>
    <row r="408" ht="15" customHeight="1">
      <c r="A408">
        <f>IF(INPUT!A408="","",INPUT!A408)</f>
        <v/>
      </c>
      <c r="B408">
        <f>IF(INPUT!B408="","",INPUT!B408)</f>
        <v/>
      </c>
      <c r="C408">
        <f>IF(INPUT!C408="","",INPUT!C408)</f>
        <v/>
      </c>
      <c r="D408">
        <f>IF(INPUT!D408="","",INPUT!D408)</f>
        <v/>
      </c>
      <c r="E408">
        <f>IF(INPUT!E408="","",TEXT(INPUT!E408,"0000000000"))</f>
        <v/>
      </c>
      <c r="F408">
        <f>IF(E408="","",IF(COUNTIF(INDIRECT("PPI_"&amp;CONFIG!$B$4&amp;"!$A:$A"),VALUE(E408))&gt;0,"IN PPI","NOT IN PPI"))</f>
        <v/>
      </c>
      <c r="G408">
        <f>IF(F408="","","-")</f>
        <v/>
      </c>
      <c r="H408">
        <f>IF(INPUT!F408="","",INPUT!F408)</f>
        <v/>
      </c>
      <c r="I408">
        <f>IF(F408="","","N/A")</f>
        <v/>
      </c>
    </row>
    <row r="409" ht="15" customHeight="1">
      <c r="A409">
        <f>IF(INPUT!A409="","",INPUT!A409)</f>
        <v/>
      </c>
      <c r="B409">
        <f>IF(INPUT!B409="","",INPUT!B409)</f>
        <v/>
      </c>
      <c r="C409">
        <f>IF(INPUT!C409="","",INPUT!C409)</f>
        <v/>
      </c>
      <c r="D409">
        <f>IF(INPUT!D409="","",INPUT!D409)</f>
        <v/>
      </c>
      <c r="E409">
        <f>IF(INPUT!E409="","",TEXT(INPUT!E409,"0000000000"))</f>
        <v/>
      </c>
      <c r="F409">
        <f>IF(E409="","",IF(COUNTIF(INDIRECT("PPI_"&amp;CONFIG!$B$4&amp;"!$A:$A"),VALUE(E409))&gt;0,"IN PPI","NOT IN PPI"))</f>
        <v/>
      </c>
      <c r="G409">
        <f>IF(F409="","","-")</f>
        <v/>
      </c>
      <c r="H409">
        <f>IF(INPUT!F409="","",INPUT!F409)</f>
        <v/>
      </c>
      <c r="I409">
        <f>IF(F409="","","N/A")</f>
        <v/>
      </c>
    </row>
    <row r="410" ht="15" customHeight="1">
      <c r="A410">
        <f>IF(INPUT!A410="","",INPUT!A410)</f>
        <v/>
      </c>
      <c r="B410">
        <f>IF(INPUT!B410="","",INPUT!B410)</f>
        <v/>
      </c>
      <c r="C410">
        <f>IF(INPUT!C410="","",INPUT!C410)</f>
        <v/>
      </c>
      <c r="D410">
        <f>IF(INPUT!D410="","",INPUT!D410)</f>
        <v/>
      </c>
      <c r="E410">
        <f>IF(INPUT!E410="","",TEXT(INPUT!E410,"0000000000"))</f>
        <v/>
      </c>
      <c r="F410">
        <f>IF(E410="","",IF(COUNTIF(INDIRECT("PPI_"&amp;CONFIG!$B$4&amp;"!$A:$A"),VALUE(E410))&gt;0,"IN PPI","NOT IN PPI"))</f>
        <v/>
      </c>
      <c r="G410">
        <f>IF(F410="","","-")</f>
        <v/>
      </c>
      <c r="H410">
        <f>IF(INPUT!F410="","",INPUT!F410)</f>
        <v/>
      </c>
      <c r="I410">
        <f>IF(F410="","","N/A")</f>
        <v/>
      </c>
    </row>
    <row r="411" ht="15" customHeight="1">
      <c r="A411">
        <f>IF(INPUT!A411="","",INPUT!A411)</f>
        <v/>
      </c>
      <c r="B411">
        <f>IF(INPUT!B411="","",INPUT!B411)</f>
        <v/>
      </c>
      <c r="C411">
        <f>IF(INPUT!C411="","",INPUT!C411)</f>
        <v/>
      </c>
      <c r="D411">
        <f>IF(INPUT!D411="","",INPUT!D411)</f>
        <v/>
      </c>
      <c r="E411">
        <f>IF(INPUT!E411="","",TEXT(INPUT!E411,"0000000000"))</f>
        <v/>
      </c>
      <c r="F411">
        <f>IF(E411="","",IF(COUNTIF(INDIRECT("PPI_"&amp;CONFIG!$B$4&amp;"!$A:$A"),VALUE(E411))&gt;0,"IN PPI","NOT IN PPI"))</f>
        <v/>
      </c>
      <c r="G411">
        <f>IF(F411="","","-")</f>
        <v/>
      </c>
      <c r="H411">
        <f>IF(INPUT!F411="","",INPUT!F411)</f>
        <v/>
      </c>
      <c r="I411">
        <f>IF(F411="","","N/A")</f>
        <v/>
      </c>
    </row>
    <row r="412" ht="15" customHeight="1">
      <c r="A412">
        <f>IF(INPUT!A412="","",INPUT!A412)</f>
        <v/>
      </c>
      <c r="B412">
        <f>IF(INPUT!B412="","",INPUT!B412)</f>
        <v/>
      </c>
      <c r="C412">
        <f>IF(INPUT!C412="","",INPUT!C412)</f>
        <v/>
      </c>
      <c r="D412">
        <f>IF(INPUT!D412="","",INPUT!D412)</f>
        <v/>
      </c>
      <c r="E412">
        <f>IF(INPUT!E412="","",TEXT(INPUT!E412,"0000000000"))</f>
        <v/>
      </c>
      <c r="F412">
        <f>IF(E412="","",IF(COUNTIF(INDIRECT("PPI_"&amp;CONFIG!$B$4&amp;"!$A:$A"),VALUE(E412))&gt;0,"IN PPI","NOT IN PPI"))</f>
        <v/>
      </c>
      <c r="G412">
        <f>IF(F412="","","-")</f>
        <v/>
      </c>
      <c r="H412">
        <f>IF(INPUT!F412="","",INPUT!F412)</f>
        <v/>
      </c>
      <c r="I412">
        <f>IF(F412="","","N/A")</f>
        <v/>
      </c>
    </row>
    <row r="413" ht="15" customHeight="1">
      <c r="A413">
        <f>IF(INPUT!A413="","",INPUT!A413)</f>
        <v/>
      </c>
      <c r="B413">
        <f>IF(INPUT!B413="","",INPUT!B413)</f>
        <v/>
      </c>
      <c r="C413">
        <f>IF(INPUT!C413="","",INPUT!C413)</f>
        <v/>
      </c>
      <c r="D413">
        <f>IF(INPUT!D413="","",INPUT!D413)</f>
        <v/>
      </c>
      <c r="E413">
        <f>IF(INPUT!E413="","",TEXT(INPUT!E413,"0000000000"))</f>
        <v/>
      </c>
      <c r="F413">
        <f>IF(E413="","",IF(COUNTIF(INDIRECT("PPI_"&amp;CONFIG!$B$4&amp;"!$A:$A"),VALUE(E413))&gt;0,"IN PPI","NOT IN PPI"))</f>
        <v/>
      </c>
      <c r="G413">
        <f>IF(F413="","","-")</f>
        <v/>
      </c>
      <c r="H413">
        <f>IF(INPUT!F413="","",INPUT!F413)</f>
        <v/>
      </c>
      <c r="I413">
        <f>IF(F413="","","N/A")</f>
        <v/>
      </c>
    </row>
    <row r="414" ht="15" customHeight="1">
      <c r="A414">
        <f>IF(INPUT!A414="","",INPUT!A414)</f>
        <v/>
      </c>
      <c r="B414">
        <f>IF(INPUT!B414="","",INPUT!B414)</f>
        <v/>
      </c>
      <c r="C414">
        <f>IF(INPUT!C414="","",INPUT!C414)</f>
        <v/>
      </c>
      <c r="D414">
        <f>IF(INPUT!D414="","",INPUT!D414)</f>
        <v/>
      </c>
      <c r="E414">
        <f>IF(INPUT!E414="","",TEXT(INPUT!E414,"0000000000"))</f>
        <v/>
      </c>
      <c r="F414">
        <f>IF(E414="","",IF(COUNTIF(INDIRECT("PPI_"&amp;CONFIG!$B$4&amp;"!$A:$A"),VALUE(E414))&gt;0,"IN PPI","NOT IN PPI"))</f>
        <v/>
      </c>
      <c r="G414">
        <f>IF(F414="","","-")</f>
        <v/>
      </c>
      <c r="H414">
        <f>IF(INPUT!F414="","",INPUT!F414)</f>
        <v/>
      </c>
      <c r="I414">
        <f>IF(F414="","","N/A")</f>
        <v/>
      </c>
    </row>
    <row r="415" ht="15" customHeight="1">
      <c r="A415">
        <f>IF(INPUT!A415="","",INPUT!A415)</f>
        <v/>
      </c>
      <c r="B415">
        <f>IF(INPUT!B415="","",INPUT!B415)</f>
        <v/>
      </c>
      <c r="C415">
        <f>IF(INPUT!C415="","",INPUT!C415)</f>
        <v/>
      </c>
      <c r="D415">
        <f>IF(INPUT!D415="","",INPUT!D415)</f>
        <v/>
      </c>
      <c r="E415">
        <f>IF(INPUT!E415="","",TEXT(INPUT!E415,"0000000000"))</f>
        <v/>
      </c>
      <c r="F415">
        <f>IF(E415="","",IF(COUNTIF(INDIRECT("PPI_"&amp;CONFIG!$B$4&amp;"!$A:$A"),VALUE(E415))&gt;0,"IN PPI","NOT IN PPI"))</f>
        <v/>
      </c>
      <c r="G415">
        <f>IF(F415="","","-")</f>
        <v/>
      </c>
      <c r="H415">
        <f>IF(INPUT!F415="","",INPUT!F415)</f>
        <v/>
      </c>
      <c r="I415">
        <f>IF(F415="","","N/A")</f>
        <v/>
      </c>
    </row>
    <row r="416" ht="15" customHeight="1">
      <c r="A416">
        <f>IF(INPUT!A416="","",INPUT!A416)</f>
        <v/>
      </c>
      <c r="B416">
        <f>IF(INPUT!B416="","",INPUT!B416)</f>
        <v/>
      </c>
      <c r="C416">
        <f>IF(INPUT!C416="","",INPUT!C416)</f>
        <v/>
      </c>
      <c r="D416">
        <f>IF(INPUT!D416="","",INPUT!D416)</f>
        <v/>
      </c>
      <c r="E416">
        <f>IF(INPUT!E416="","",TEXT(INPUT!E416,"0000000000"))</f>
        <v/>
      </c>
      <c r="F416">
        <f>IF(E416="","",IF(COUNTIF(INDIRECT("PPI_"&amp;CONFIG!$B$4&amp;"!$A:$A"),VALUE(E416))&gt;0,"IN PPI","NOT IN PPI"))</f>
        <v/>
      </c>
      <c r="G416">
        <f>IF(F416="","","-")</f>
        <v/>
      </c>
      <c r="H416">
        <f>IF(INPUT!F416="","",INPUT!F416)</f>
        <v/>
      </c>
      <c r="I416">
        <f>IF(F416="","","N/A")</f>
        <v/>
      </c>
    </row>
    <row r="417" ht="15" customHeight="1">
      <c r="A417">
        <f>IF(INPUT!A417="","",INPUT!A417)</f>
        <v/>
      </c>
      <c r="B417">
        <f>IF(INPUT!B417="","",INPUT!B417)</f>
        <v/>
      </c>
      <c r="C417">
        <f>IF(INPUT!C417="","",INPUT!C417)</f>
        <v/>
      </c>
      <c r="D417">
        <f>IF(INPUT!D417="","",INPUT!D417)</f>
        <v/>
      </c>
      <c r="E417">
        <f>IF(INPUT!E417="","",TEXT(INPUT!E417,"0000000000"))</f>
        <v/>
      </c>
      <c r="F417">
        <f>IF(E417="","",IF(COUNTIF(INDIRECT("PPI_"&amp;CONFIG!$B$4&amp;"!$A:$A"),VALUE(E417))&gt;0,"IN PPI","NOT IN PPI"))</f>
        <v/>
      </c>
      <c r="G417">
        <f>IF(F417="","","-")</f>
        <v/>
      </c>
      <c r="H417">
        <f>IF(INPUT!F417="","",INPUT!F417)</f>
        <v/>
      </c>
      <c r="I417">
        <f>IF(F417="","","N/A")</f>
        <v/>
      </c>
    </row>
    <row r="418" ht="15" customHeight="1">
      <c r="A418">
        <f>IF(INPUT!A418="","",INPUT!A418)</f>
        <v/>
      </c>
      <c r="B418">
        <f>IF(INPUT!B418="","",INPUT!B418)</f>
        <v/>
      </c>
      <c r="C418">
        <f>IF(INPUT!C418="","",INPUT!C418)</f>
        <v/>
      </c>
      <c r="D418">
        <f>IF(INPUT!D418="","",INPUT!D418)</f>
        <v/>
      </c>
      <c r="E418">
        <f>IF(INPUT!E418="","",TEXT(INPUT!E418,"0000000000"))</f>
        <v/>
      </c>
      <c r="F418">
        <f>IF(E418="","",IF(COUNTIF(INDIRECT("PPI_"&amp;CONFIG!$B$4&amp;"!$A:$A"),VALUE(E418))&gt;0,"IN PPI","NOT IN PPI"))</f>
        <v/>
      </c>
      <c r="G418">
        <f>IF(F418="","","-")</f>
        <v/>
      </c>
      <c r="H418">
        <f>IF(INPUT!F418="","",INPUT!F418)</f>
        <v/>
      </c>
      <c r="I418">
        <f>IF(F418="","","N/A")</f>
        <v/>
      </c>
    </row>
    <row r="419" ht="15" customHeight="1">
      <c r="A419">
        <f>IF(INPUT!A419="","",INPUT!A419)</f>
        <v/>
      </c>
      <c r="B419">
        <f>IF(INPUT!B419="","",INPUT!B419)</f>
        <v/>
      </c>
      <c r="C419">
        <f>IF(INPUT!C419="","",INPUT!C419)</f>
        <v/>
      </c>
      <c r="D419">
        <f>IF(INPUT!D419="","",INPUT!D419)</f>
        <v/>
      </c>
      <c r="E419">
        <f>IF(INPUT!E419="","",TEXT(INPUT!E419,"0000000000"))</f>
        <v/>
      </c>
      <c r="F419">
        <f>IF(E419="","",IF(COUNTIF(INDIRECT("PPI_"&amp;CONFIG!$B$4&amp;"!$A:$A"),VALUE(E419))&gt;0,"IN PPI","NOT IN PPI"))</f>
        <v/>
      </c>
      <c r="G419">
        <f>IF(F419="","","-")</f>
        <v/>
      </c>
      <c r="H419">
        <f>IF(INPUT!F419="","",INPUT!F419)</f>
        <v/>
      </c>
      <c r="I419">
        <f>IF(F419="","","N/A")</f>
        <v/>
      </c>
    </row>
    <row r="420" ht="15" customHeight="1">
      <c r="A420">
        <f>IF(INPUT!A420="","",INPUT!A420)</f>
        <v/>
      </c>
      <c r="B420">
        <f>IF(INPUT!B420="","",INPUT!B420)</f>
        <v/>
      </c>
      <c r="C420">
        <f>IF(INPUT!C420="","",INPUT!C420)</f>
        <v/>
      </c>
      <c r="D420">
        <f>IF(INPUT!D420="","",INPUT!D420)</f>
        <v/>
      </c>
      <c r="E420">
        <f>IF(INPUT!E420="","",TEXT(INPUT!E420,"0000000000"))</f>
        <v/>
      </c>
      <c r="F420">
        <f>IF(E420="","",IF(COUNTIF(INDIRECT("PPI_"&amp;CONFIG!$B$4&amp;"!$A:$A"),VALUE(E420))&gt;0,"IN PPI","NOT IN PPI"))</f>
        <v/>
      </c>
      <c r="G420">
        <f>IF(F420="","","-")</f>
        <v/>
      </c>
      <c r="H420">
        <f>IF(INPUT!F420="","",INPUT!F420)</f>
        <v/>
      </c>
      <c r="I420">
        <f>IF(F420="","","N/A")</f>
        <v/>
      </c>
    </row>
    <row r="421" ht="15" customHeight="1">
      <c r="A421">
        <f>IF(INPUT!A421="","",INPUT!A421)</f>
        <v/>
      </c>
      <c r="B421">
        <f>IF(INPUT!B421="","",INPUT!B421)</f>
        <v/>
      </c>
      <c r="C421">
        <f>IF(INPUT!C421="","",INPUT!C421)</f>
        <v/>
      </c>
      <c r="D421">
        <f>IF(INPUT!D421="","",INPUT!D421)</f>
        <v/>
      </c>
      <c r="E421">
        <f>IF(INPUT!E421="","",TEXT(INPUT!E421,"0000000000"))</f>
        <v/>
      </c>
      <c r="F421">
        <f>IF(E421="","",IF(COUNTIF(INDIRECT("PPI_"&amp;CONFIG!$B$4&amp;"!$A:$A"),VALUE(E421))&gt;0,"IN PPI","NOT IN PPI"))</f>
        <v/>
      </c>
      <c r="G421">
        <f>IF(F421="","","-")</f>
        <v/>
      </c>
      <c r="H421">
        <f>IF(INPUT!F421="","",INPUT!F421)</f>
        <v/>
      </c>
      <c r="I421">
        <f>IF(F421="","","N/A")</f>
        <v/>
      </c>
    </row>
    <row r="422" ht="15" customHeight="1">
      <c r="A422">
        <f>IF(INPUT!A422="","",INPUT!A422)</f>
        <v/>
      </c>
      <c r="B422">
        <f>IF(INPUT!B422="","",INPUT!B422)</f>
        <v/>
      </c>
      <c r="C422">
        <f>IF(INPUT!C422="","",INPUT!C422)</f>
        <v/>
      </c>
      <c r="D422">
        <f>IF(INPUT!D422="","",INPUT!D422)</f>
        <v/>
      </c>
      <c r="E422">
        <f>IF(INPUT!E422="","",TEXT(INPUT!E422,"0000000000"))</f>
        <v/>
      </c>
      <c r="F422">
        <f>IF(E422="","",IF(COUNTIF(INDIRECT("PPI_"&amp;CONFIG!$B$4&amp;"!$A:$A"),VALUE(E422))&gt;0,"IN PPI","NOT IN PPI"))</f>
        <v/>
      </c>
      <c r="G422">
        <f>IF(F422="","","-")</f>
        <v/>
      </c>
      <c r="H422">
        <f>IF(INPUT!F422="","",INPUT!F422)</f>
        <v/>
      </c>
      <c r="I422">
        <f>IF(F422="","","N/A")</f>
        <v/>
      </c>
    </row>
    <row r="423" ht="15" customHeight="1">
      <c r="A423">
        <f>IF(INPUT!A423="","",INPUT!A423)</f>
        <v/>
      </c>
      <c r="B423">
        <f>IF(INPUT!B423="","",INPUT!B423)</f>
        <v/>
      </c>
      <c r="C423">
        <f>IF(INPUT!C423="","",INPUT!C423)</f>
        <v/>
      </c>
      <c r="D423">
        <f>IF(INPUT!D423="","",INPUT!D423)</f>
        <v/>
      </c>
      <c r="E423">
        <f>IF(INPUT!E423="","",TEXT(INPUT!E423,"0000000000"))</f>
        <v/>
      </c>
      <c r="F423">
        <f>IF(E423="","",IF(COUNTIF(INDIRECT("PPI_"&amp;CONFIG!$B$4&amp;"!$A:$A"),VALUE(E423))&gt;0,"IN PPI","NOT IN PPI"))</f>
        <v/>
      </c>
      <c r="G423">
        <f>IF(F423="","","-")</f>
        <v/>
      </c>
      <c r="H423">
        <f>IF(INPUT!F423="","",INPUT!F423)</f>
        <v/>
      </c>
      <c r="I423">
        <f>IF(F423="","","N/A")</f>
        <v/>
      </c>
    </row>
    <row r="424" ht="15" customHeight="1">
      <c r="A424">
        <f>IF(INPUT!A424="","",INPUT!A424)</f>
        <v/>
      </c>
      <c r="B424">
        <f>IF(INPUT!B424="","",INPUT!B424)</f>
        <v/>
      </c>
      <c r="C424">
        <f>IF(INPUT!C424="","",INPUT!C424)</f>
        <v/>
      </c>
      <c r="D424">
        <f>IF(INPUT!D424="","",INPUT!D424)</f>
        <v/>
      </c>
      <c r="E424">
        <f>IF(INPUT!E424="","",TEXT(INPUT!E424,"0000000000"))</f>
        <v/>
      </c>
      <c r="F424">
        <f>IF(E424="","",IF(COUNTIF(INDIRECT("PPI_"&amp;CONFIG!$B$4&amp;"!$A:$A"),VALUE(E424))&gt;0,"IN PPI","NOT IN PPI"))</f>
        <v/>
      </c>
      <c r="G424">
        <f>IF(F424="","","-")</f>
        <v/>
      </c>
      <c r="H424">
        <f>IF(INPUT!F424="","",INPUT!F424)</f>
        <v/>
      </c>
      <c r="I424">
        <f>IF(F424="","","N/A")</f>
        <v/>
      </c>
    </row>
    <row r="425" ht="15" customHeight="1">
      <c r="A425">
        <f>IF(INPUT!A425="","",INPUT!A425)</f>
        <v/>
      </c>
      <c r="B425">
        <f>IF(INPUT!B425="","",INPUT!B425)</f>
        <v/>
      </c>
      <c r="C425">
        <f>IF(INPUT!C425="","",INPUT!C425)</f>
        <v/>
      </c>
      <c r="D425">
        <f>IF(INPUT!D425="","",INPUT!D425)</f>
        <v/>
      </c>
      <c r="E425">
        <f>IF(INPUT!E425="","",TEXT(INPUT!E425,"0000000000"))</f>
        <v/>
      </c>
      <c r="F425">
        <f>IF(E425="","",IF(COUNTIF(INDIRECT("PPI_"&amp;CONFIG!$B$4&amp;"!$A:$A"),VALUE(E425))&gt;0,"IN PPI","NOT IN PPI"))</f>
        <v/>
      </c>
      <c r="G425">
        <f>IF(F425="","","-")</f>
        <v/>
      </c>
      <c r="H425">
        <f>IF(INPUT!F425="","",INPUT!F425)</f>
        <v/>
      </c>
      <c r="I425">
        <f>IF(F425="","","N/A")</f>
        <v/>
      </c>
    </row>
    <row r="426" ht="15" customHeight="1">
      <c r="A426">
        <f>IF(INPUT!A426="","",INPUT!A426)</f>
        <v/>
      </c>
      <c r="B426">
        <f>IF(INPUT!B426="","",INPUT!B426)</f>
        <v/>
      </c>
      <c r="C426">
        <f>IF(INPUT!C426="","",INPUT!C426)</f>
        <v/>
      </c>
      <c r="D426">
        <f>IF(INPUT!D426="","",INPUT!D426)</f>
        <v/>
      </c>
      <c r="E426">
        <f>IF(INPUT!E426="","",TEXT(INPUT!E426,"0000000000"))</f>
        <v/>
      </c>
      <c r="F426">
        <f>IF(E426="","",IF(COUNTIF(INDIRECT("PPI_"&amp;CONFIG!$B$4&amp;"!$A:$A"),VALUE(E426))&gt;0,"IN PPI","NOT IN PPI"))</f>
        <v/>
      </c>
      <c r="G426">
        <f>IF(F426="","","-")</f>
        <v/>
      </c>
      <c r="H426">
        <f>IF(INPUT!F426="","",INPUT!F426)</f>
        <v/>
      </c>
      <c r="I426">
        <f>IF(F426="","","N/A")</f>
        <v/>
      </c>
    </row>
    <row r="427" ht="15" customHeight="1">
      <c r="A427">
        <f>IF(INPUT!A427="","",INPUT!A427)</f>
        <v/>
      </c>
      <c r="B427">
        <f>IF(INPUT!B427="","",INPUT!B427)</f>
        <v/>
      </c>
      <c r="C427">
        <f>IF(INPUT!C427="","",INPUT!C427)</f>
        <v/>
      </c>
      <c r="D427">
        <f>IF(INPUT!D427="","",INPUT!D427)</f>
        <v/>
      </c>
      <c r="E427">
        <f>IF(INPUT!E427="","",TEXT(INPUT!E427,"0000000000"))</f>
        <v/>
      </c>
      <c r="F427">
        <f>IF(E427="","",IF(COUNTIF(INDIRECT("PPI_"&amp;CONFIG!$B$4&amp;"!$A:$A"),VALUE(E427))&gt;0,"IN PPI","NOT IN PPI"))</f>
        <v/>
      </c>
      <c r="G427">
        <f>IF(F427="","","-")</f>
        <v/>
      </c>
      <c r="H427">
        <f>IF(INPUT!F427="","",INPUT!F427)</f>
        <v/>
      </c>
      <c r="I427">
        <f>IF(F427="","","N/A")</f>
        <v/>
      </c>
    </row>
    <row r="428" ht="15" customHeight="1">
      <c r="A428">
        <f>IF(INPUT!A428="","",INPUT!A428)</f>
        <v/>
      </c>
      <c r="B428">
        <f>IF(INPUT!B428="","",INPUT!B428)</f>
        <v/>
      </c>
      <c r="C428">
        <f>IF(INPUT!C428="","",INPUT!C428)</f>
        <v/>
      </c>
      <c r="D428">
        <f>IF(INPUT!D428="","",INPUT!D428)</f>
        <v/>
      </c>
      <c r="E428">
        <f>IF(INPUT!E428="","",TEXT(INPUT!E428,"0000000000"))</f>
        <v/>
      </c>
      <c r="F428">
        <f>IF(E428="","",IF(COUNTIF(INDIRECT("PPI_"&amp;CONFIG!$B$4&amp;"!$A:$A"),VALUE(E428))&gt;0,"IN PPI","NOT IN PPI"))</f>
        <v/>
      </c>
      <c r="G428">
        <f>IF(F428="","","-")</f>
        <v/>
      </c>
      <c r="H428">
        <f>IF(INPUT!F428="","",INPUT!F428)</f>
        <v/>
      </c>
      <c r="I428">
        <f>IF(F428="","","N/A")</f>
        <v/>
      </c>
    </row>
    <row r="429" ht="15" customHeight="1">
      <c r="A429">
        <f>IF(INPUT!A429="","",INPUT!A429)</f>
        <v/>
      </c>
      <c r="B429">
        <f>IF(INPUT!B429="","",INPUT!B429)</f>
        <v/>
      </c>
      <c r="C429">
        <f>IF(INPUT!C429="","",INPUT!C429)</f>
        <v/>
      </c>
      <c r="D429">
        <f>IF(INPUT!D429="","",INPUT!D429)</f>
        <v/>
      </c>
      <c r="E429">
        <f>IF(INPUT!E429="","",TEXT(INPUT!E429,"0000000000"))</f>
        <v/>
      </c>
      <c r="F429">
        <f>IF(E429="","",IF(COUNTIF(INDIRECT("PPI_"&amp;CONFIG!$B$4&amp;"!$A:$A"),VALUE(E429))&gt;0,"IN PPI","NOT IN PPI"))</f>
        <v/>
      </c>
      <c r="G429">
        <f>IF(F429="","","-")</f>
        <v/>
      </c>
      <c r="H429">
        <f>IF(INPUT!F429="","",INPUT!F429)</f>
        <v/>
      </c>
      <c r="I429">
        <f>IF(F429="","","N/A")</f>
        <v/>
      </c>
    </row>
    <row r="430" ht="15" customHeight="1">
      <c r="A430">
        <f>IF(INPUT!A430="","",INPUT!A430)</f>
        <v/>
      </c>
      <c r="B430">
        <f>IF(INPUT!B430="","",INPUT!B430)</f>
        <v/>
      </c>
      <c r="C430">
        <f>IF(INPUT!C430="","",INPUT!C430)</f>
        <v/>
      </c>
      <c r="D430">
        <f>IF(INPUT!D430="","",INPUT!D430)</f>
        <v/>
      </c>
      <c r="E430">
        <f>IF(INPUT!E430="","",TEXT(INPUT!E430,"0000000000"))</f>
        <v/>
      </c>
      <c r="F430">
        <f>IF(E430="","",IF(COUNTIF(INDIRECT("PPI_"&amp;CONFIG!$B$4&amp;"!$A:$A"),VALUE(E430))&gt;0,"IN PPI","NOT IN PPI"))</f>
        <v/>
      </c>
      <c r="G430">
        <f>IF(F430="","","-")</f>
        <v/>
      </c>
      <c r="H430">
        <f>IF(INPUT!F430="","",INPUT!F430)</f>
        <v/>
      </c>
      <c r="I430">
        <f>IF(F430="","","N/A")</f>
        <v/>
      </c>
    </row>
    <row r="431" ht="15" customHeight="1">
      <c r="A431">
        <f>IF(INPUT!A431="","",INPUT!A431)</f>
        <v/>
      </c>
      <c r="B431">
        <f>IF(INPUT!B431="","",INPUT!B431)</f>
        <v/>
      </c>
      <c r="C431">
        <f>IF(INPUT!C431="","",INPUT!C431)</f>
        <v/>
      </c>
      <c r="D431">
        <f>IF(INPUT!D431="","",INPUT!D431)</f>
        <v/>
      </c>
      <c r="E431">
        <f>IF(INPUT!E431="","",TEXT(INPUT!E431,"0000000000"))</f>
        <v/>
      </c>
      <c r="F431">
        <f>IF(E431="","",IF(COUNTIF(INDIRECT("PPI_"&amp;CONFIG!$B$4&amp;"!$A:$A"),VALUE(E431))&gt;0,"IN PPI","NOT IN PPI"))</f>
        <v/>
      </c>
      <c r="G431">
        <f>IF(F431="","","-")</f>
        <v/>
      </c>
      <c r="H431">
        <f>IF(INPUT!F431="","",INPUT!F431)</f>
        <v/>
      </c>
      <c r="I431">
        <f>IF(F431="","","N/A")</f>
        <v/>
      </c>
    </row>
    <row r="432" ht="15" customHeight="1">
      <c r="A432">
        <f>IF(INPUT!A432="","",INPUT!A432)</f>
        <v/>
      </c>
      <c r="B432">
        <f>IF(INPUT!B432="","",INPUT!B432)</f>
        <v/>
      </c>
      <c r="C432">
        <f>IF(INPUT!C432="","",INPUT!C432)</f>
        <v/>
      </c>
      <c r="D432">
        <f>IF(INPUT!D432="","",INPUT!D432)</f>
        <v/>
      </c>
      <c r="E432">
        <f>IF(INPUT!E432="","",TEXT(INPUT!E432,"0000000000"))</f>
        <v/>
      </c>
      <c r="F432">
        <f>IF(E432="","",IF(COUNTIF(INDIRECT("PPI_"&amp;CONFIG!$B$4&amp;"!$A:$A"),VALUE(E432))&gt;0,"IN PPI","NOT IN PPI"))</f>
        <v/>
      </c>
      <c r="G432">
        <f>IF(F432="","","-")</f>
        <v/>
      </c>
      <c r="H432">
        <f>IF(INPUT!F432="","",INPUT!F432)</f>
        <v/>
      </c>
      <c r="I432">
        <f>IF(F432="","","N/A")</f>
        <v/>
      </c>
    </row>
    <row r="433" ht="15" customHeight="1">
      <c r="A433">
        <f>IF(INPUT!A433="","",INPUT!A433)</f>
        <v/>
      </c>
      <c r="B433">
        <f>IF(INPUT!B433="","",INPUT!B433)</f>
        <v/>
      </c>
      <c r="C433">
        <f>IF(INPUT!C433="","",INPUT!C433)</f>
        <v/>
      </c>
      <c r="D433">
        <f>IF(INPUT!D433="","",INPUT!D433)</f>
        <v/>
      </c>
      <c r="E433">
        <f>IF(INPUT!E433="","",TEXT(INPUT!E433,"0000000000"))</f>
        <v/>
      </c>
      <c r="F433">
        <f>IF(E433="","",IF(COUNTIF(INDIRECT("PPI_"&amp;CONFIG!$B$4&amp;"!$A:$A"),VALUE(E433))&gt;0,"IN PPI","NOT IN PPI"))</f>
        <v/>
      </c>
      <c r="G433">
        <f>IF(F433="","","-")</f>
        <v/>
      </c>
      <c r="H433">
        <f>IF(INPUT!F433="","",INPUT!F433)</f>
        <v/>
      </c>
      <c r="I433">
        <f>IF(F433="","","N/A")</f>
        <v/>
      </c>
    </row>
    <row r="434" ht="15" customHeight="1">
      <c r="A434">
        <f>IF(INPUT!A434="","",INPUT!A434)</f>
        <v/>
      </c>
      <c r="B434">
        <f>IF(INPUT!B434="","",INPUT!B434)</f>
        <v/>
      </c>
      <c r="C434">
        <f>IF(INPUT!C434="","",INPUT!C434)</f>
        <v/>
      </c>
      <c r="D434">
        <f>IF(INPUT!D434="","",INPUT!D434)</f>
        <v/>
      </c>
      <c r="E434">
        <f>IF(INPUT!E434="","",TEXT(INPUT!E434,"0000000000"))</f>
        <v/>
      </c>
      <c r="F434">
        <f>IF(E434="","",IF(COUNTIF(INDIRECT("PPI_"&amp;CONFIG!$B$4&amp;"!$A:$A"),VALUE(E434))&gt;0,"IN PPI","NOT IN PPI"))</f>
        <v/>
      </c>
      <c r="G434">
        <f>IF(F434="","","-")</f>
        <v/>
      </c>
      <c r="H434">
        <f>IF(INPUT!F434="","",INPUT!F434)</f>
        <v/>
      </c>
      <c r="I434">
        <f>IF(F434="","","N/A")</f>
        <v/>
      </c>
    </row>
    <row r="435" ht="15" customHeight="1">
      <c r="A435">
        <f>IF(INPUT!A435="","",INPUT!A435)</f>
        <v/>
      </c>
      <c r="B435">
        <f>IF(INPUT!B435="","",INPUT!B435)</f>
        <v/>
      </c>
      <c r="C435">
        <f>IF(INPUT!C435="","",INPUT!C435)</f>
        <v/>
      </c>
      <c r="D435">
        <f>IF(INPUT!D435="","",INPUT!D435)</f>
        <v/>
      </c>
      <c r="E435">
        <f>IF(INPUT!E435="","",TEXT(INPUT!E435,"0000000000"))</f>
        <v/>
      </c>
      <c r="F435">
        <f>IF(E435="","",IF(COUNTIF(INDIRECT("PPI_"&amp;CONFIG!$B$4&amp;"!$A:$A"),VALUE(E435))&gt;0,"IN PPI","NOT IN PPI"))</f>
        <v/>
      </c>
      <c r="G435">
        <f>IF(F435="","","-")</f>
        <v/>
      </c>
      <c r="H435">
        <f>IF(INPUT!F435="","",INPUT!F435)</f>
        <v/>
      </c>
      <c r="I435">
        <f>IF(F435="","","N/A")</f>
        <v/>
      </c>
    </row>
    <row r="436" ht="15" customHeight="1">
      <c r="A436">
        <f>IF(INPUT!A436="","",INPUT!A436)</f>
        <v/>
      </c>
      <c r="B436">
        <f>IF(INPUT!B436="","",INPUT!B436)</f>
        <v/>
      </c>
      <c r="C436">
        <f>IF(INPUT!C436="","",INPUT!C436)</f>
        <v/>
      </c>
      <c r="D436">
        <f>IF(INPUT!D436="","",INPUT!D436)</f>
        <v/>
      </c>
      <c r="E436">
        <f>IF(INPUT!E436="","",TEXT(INPUT!E436,"0000000000"))</f>
        <v/>
      </c>
      <c r="F436">
        <f>IF(E436="","",IF(COUNTIF(INDIRECT("PPI_"&amp;CONFIG!$B$4&amp;"!$A:$A"),VALUE(E436))&gt;0,"IN PPI","NOT IN PPI"))</f>
        <v/>
      </c>
      <c r="G436">
        <f>IF(F436="","","-")</f>
        <v/>
      </c>
      <c r="H436">
        <f>IF(INPUT!F436="","",INPUT!F436)</f>
        <v/>
      </c>
      <c r="I436">
        <f>IF(F436="","","N/A")</f>
        <v/>
      </c>
    </row>
    <row r="437" ht="15" customHeight="1">
      <c r="A437">
        <f>IF(INPUT!A437="","",INPUT!A437)</f>
        <v/>
      </c>
      <c r="B437">
        <f>IF(INPUT!B437="","",INPUT!B437)</f>
        <v/>
      </c>
      <c r="C437">
        <f>IF(INPUT!C437="","",INPUT!C437)</f>
        <v/>
      </c>
      <c r="D437">
        <f>IF(INPUT!D437="","",INPUT!D437)</f>
        <v/>
      </c>
      <c r="E437">
        <f>IF(INPUT!E437="","",TEXT(INPUT!E437,"0000000000"))</f>
        <v/>
      </c>
      <c r="F437">
        <f>IF(E437="","",IF(COUNTIF(INDIRECT("PPI_"&amp;CONFIG!$B$4&amp;"!$A:$A"),VALUE(E437))&gt;0,"IN PPI","NOT IN PPI"))</f>
        <v/>
      </c>
      <c r="G437">
        <f>IF(F437="","","-")</f>
        <v/>
      </c>
      <c r="H437">
        <f>IF(INPUT!F437="","",INPUT!F437)</f>
        <v/>
      </c>
      <c r="I437">
        <f>IF(F437="","","N/A")</f>
        <v/>
      </c>
    </row>
    <row r="438" ht="15" customHeight="1">
      <c r="A438">
        <f>IF(INPUT!A438="","",INPUT!A438)</f>
        <v/>
      </c>
      <c r="B438">
        <f>IF(INPUT!B438="","",INPUT!B438)</f>
        <v/>
      </c>
      <c r="C438">
        <f>IF(INPUT!C438="","",INPUT!C438)</f>
        <v/>
      </c>
      <c r="D438">
        <f>IF(INPUT!D438="","",INPUT!D438)</f>
        <v/>
      </c>
      <c r="E438">
        <f>IF(INPUT!E438="","",TEXT(INPUT!E438,"0000000000"))</f>
        <v/>
      </c>
      <c r="F438">
        <f>IF(E438="","",IF(COUNTIF(INDIRECT("PPI_"&amp;CONFIG!$B$4&amp;"!$A:$A"),VALUE(E438))&gt;0,"IN PPI","NOT IN PPI"))</f>
        <v/>
      </c>
      <c r="G438">
        <f>IF(F438="","","-")</f>
        <v/>
      </c>
      <c r="H438">
        <f>IF(INPUT!F438="","",INPUT!F438)</f>
        <v/>
      </c>
      <c r="I438">
        <f>IF(F438="","","N/A")</f>
        <v/>
      </c>
    </row>
    <row r="439" ht="15" customHeight="1">
      <c r="A439">
        <f>IF(INPUT!A439="","",INPUT!A439)</f>
        <v/>
      </c>
      <c r="B439">
        <f>IF(INPUT!B439="","",INPUT!B439)</f>
        <v/>
      </c>
      <c r="C439">
        <f>IF(INPUT!C439="","",INPUT!C439)</f>
        <v/>
      </c>
      <c r="D439">
        <f>IF(INPUT!D439="","",INPUT!D439)</f>
        <v/>
      </c>
      <c r="E439">
        <f>IF(INPUT!E439="","",TEXT(INPUT!E439,"0000000000"))</f>
        <v/>
      </c>
      <c r="F439">
        <f>IF(E439="","",IF(COUNTIF(INDIRECT("PPI_"&amp;CONFIG!$B$4&amp;"!$A:$A"),VALUE(E439))&gt;0,"IN PPI","NOT IN PPI"))</f>
        <v/>
      </c>
      <c r="G439">
        <f>IF(F439="","","-")</f>
        <v/>
      </c>
      <c r="H439">
        <f>IF(INPUT!F439="","",INPUT!F439)</f>
        <v/>
      </c>
      <c r="I439">
        <f>IF(F439="","","N/A")</f>
        <v/>
      </c>
    </row>
    <row r="440" ht="15" customHeight="1">
      <c r="A440">
        <f>IF(INPUT!A440="","",INPUT!A440)</f>
        <v/>
      </c>
      <c r="B440">
        <f>IF(INPUT!B440="","",INPUT!B440)</f>
        <v/>
      </c>
      <c r="C440">
        <f>IF(INPUT!C440="","",INPUT!C440)</f>
        <v/>
      </c>
      <c r="D440">
        <f>IF(INPUT!D440="","",INPUT!D440)</f>
        <v/>
      </c>
      <c r="E440">
        <f>IF(INPUT!E440="","",TEXT(INPUT!E440,"0000000000"))</f>
        <v/>
      </c>
      <c r="F440">
        <f>IF(E440="","",IF(COUNTIF(INDIRECT("PPI_"&amp;CONFIG!$B$4&amp;"!$A:$A"),VALUE(E440))&gt;0,"IN PPI","NOT IN PPI"))</f>
        <v/>
      </c>
      <c r="G440">
        <f>IF(F440="","","-")</f>
        <v/>
      </c>
      <c r="H440">
        <f>IF(INPUT!F440="","",INPUT!F440)</f>
        <v/>
      </c>
      <c r="I440">
        <f>IF(F440="","","N/A")</f>
        <v/>
      </c>
    </row>
    <row r="441" ht="15" customHeight="1">
      <c r="A441">
        <f>IF(INPUT!A441="","",INPUT!A441)</f>
        <v/>
      </c>
      <c r="B441">
        <f>IF(INPUT!B441="","",INPUT!B441)</f>
        <v/>
      </c>
      <c r="C441">
        <f>IF(INPUT!C441="","",INPUT!C441)</f>
        <v/>
      </c>
      <c r="D441">
        <f>IF(INPUT!D441="","",INPUT!D441)</f>
        <v/>
      </c>
      <c r="E441">
        <f>IF(INPUT!E441="","",TEXT(INPUT!E441,"0000000000"))</f>
        <v/>
      </c>
      <c r="F441">
        <f>IF(E441="","",IF(COUNTIF(INDIRECT("PPI_"&amp;CONFIG!$B$4&amp;"!$A:$A"),VALUE(E441))&gt;0,"IN PPI","NOT IN PPI"))</f>
        <v/>
      </c>
      <c r="G441">
        <f>IF(F441="","","-")</f>
        <v/>
      </c>
      <c r="H441">
        <f>IF(INPUT!F441="","",INPUT!F441)</f>
        <v/>
      </c>
      <c r="I441">
        <f>IF(F441="","","N/A")</f>
        <v/>
      </c>
    </row>
    <row r="442" ht="15" customHeight="1">
      <c r="A442">
        <f>IF(INPUT!A442="","",INPUT!A442)</f>
        <v/>
      </c>
      <c r="B442">
        <f>IF(INPUT!B442="","",INPUT!B442)</f>
        <v/>
      </c>
      <c r="C442">
        <f>IF(INPUT!C442="","",INPUT!C442)</f>
        <v/>
      </c>
      <c r="D442">
        <f>IF(INPUT!D442="","",INPUT!D442)</f>
        <v/>
      </c>
      <c r="E442">
        <f>IF(INPUT!E442="","",TEXT(INPUT!E442,"0000000000"))</f>
        <v/>
      </c>
      <c r="F442">
        <f>IF(E442="","",IF(COUNTIF(INDIRECT("PPI_"&amp;CONFIG!$B$4&amp;"!$A:$A"),VALUE(E442))&gt;0,"IN PPI","NOT IN PPI"))</f>
        <v/>
      </c>
      <c r="G442">
        <f>IF(F442="","","-")</f>
        <v/>
      </c>
      <c r="H442">
        <f>IF(INPUT!F442="","",INPUT!F442)</f>
        <v/>
      </c>
      <c r="I442">
        <f>IF(F442="","","N/A")</f>
        <v/>
      </c>
    </row>
    <row r="443" ht="15" customHeight="1">
      <c r="A443">
        <f>IF(INPUT!A443="","",INPUT!A443)</f>
        <v/>
      </c>
      <c r="B443">
        <f>IF(INPUT!B443="","",INPUT!B443)</f>
        <v/>
      </c>
      <c r="C443">
        <f>IF(INPUT!C443="","",INPUT!C443)</f>
        <v/>
      </c>
      <c r="D443">
        <f>IF(INPUT!D443="","",INPUT!D443)</f>
        <v/>
      </c>
      <c r="E443">
        <f>IF(INPUT!E443="","",TEXT(INPUT!E443,"0000000000"))</f>
        <v/>
      </c>
      <c r="F443">
        <f>IF(E443="","",IF(COUNTIF(INDIRECT("PPI_"&amp;CONFIG!$B$4&amp;"!$A:$A"),VALUE(E443))&gt;0,"IN PPI","NOT IN PPI"))</f>
        <v/>
      </c>
      <c r="G443">
        <f>IF(F443="","","-")</f>
        <v/>
      </c>
      <c r="H443">
        <f>IF(INPUT!F443="","",INPUT!F443)</f>
        <v/>
      </c>
      <c r="I443">
        <f>IF(F443="","","N/A")</f>
        <v/>
      </c>
    </row>
    <row r="444" ht="15" customHeight="1">
      <c r="A444">
        <f>IF(INPUT!A444="","",INPUT!A444)</f>
        <v/>
      </c>
      <c r="B444">
        <f>IF(INPUT!B444="","",INPUT!B444)</f>
        <v/>
      </c>
      <c r="C444">
        <f>IF(INPUT!C444="","",INPUT!C444)</f>
        <v/>
      </c>
      <c r="D444">
        <f>IF(INPUT!D444="","",INPUT!D444)</f>
        <v/>
      </c>
      <c r="E444">
        <f>IF(INPUT!E444="","",TEXT(INPUT!E444,"0000000000"))</f>
        <v/>
      </c>
      <c r="F444">
        <f>IF(E444="","",IF(COUNTIF(INDIRECT("PPI_"&amp;CONFIG!$B$4&amp;"!$A:$A"),VALUE(E444))&gt;0,"IN PPI","NOT IN PPI"))</f>
        <v/>
      </c>
      <c r="G444">
        <f>IF(F444="","","-")</f>
        <v/>
      </c>
      <c r="H444">
        <f>IF(INPUT!F444="","",INPUT!F444)</f>
        <v/>
      </c>
      <c r="I444">
        <f>IF(F444="","","N/A")</f>
        <v/>
      </c>
    </row>
    <row r="445" ht="15" customHeight="1">
      <c r="A445">
        <f>IF(INPUT!A445="","",INPUT!A445)</f>
        <v/>
      </c>
      <c r="B445">
        <f>IF(INPUT!B445="","",INPUT!B445)</f>
        <v/>
      </c>
      <c r="C445">
        <f>IF(INPUT!C445="","",INPUT!C445)</f>
        <v/>
      </c>
      <c r="D445">
        <f>IF(INPUT!D445="","",INPUT!D445)</f>
        <v/>
      </c>
      <c r="E445">
        <f>IF(INPUT!E445="","",TEXT(INPUT!E445,"0000000000"))</f>
        <v/>
      </c>
      <c r="F445">
        <f>IF(E445="","",IF(COUNTIF(INDIRECT("PPI_"&amp;CONFIG!$B$4&amp;"!$A:$A"),VALUE(E445))&gt;0,"IN PPI","NOT IN PPI"))</f>
        <v/>
      </c>
      <c r="G445">
        <f>IF(F445="","","-")</f>
        <v/>
      </c>
      <c r="H445">
        <f>IF(INPUT!F445="","",INPUT!F445)</f>
        <v/>
      </c>
      <c r="I445">
        <f>IF(F445="","","N/A")</f>
        <v/>
      </c>
    </row>
    <row r="446" ht="15" customHeight="1">
      <c r="A446">
        <f>IF(INPUT!A446="","",INPUT!A446)</f>
        <v/>
      </c>
      <c r="B446">
        <f>IF(INPUT!B446="","",INPUT!B446)</f>
        <v/>
      </c>
      <c r="C446">
        <f>IF(INPUT!C446="","",INPUT!C446)</f>
        <v/>
      </c>
      <c r="D446">
        <f>IF(INPUT!D446="","",INPUT!D446)</f>
        <v/>
      </c>
      <c r="E446">
        <f>IF(INPUT!E446="","",TEXT(INPUT!E446,"0000000000"))</f>
        <v/>
      </c>
      <c r="F446">
        <f>IF(E446="","",IF(COUNTIF(INDIRECT("PPI_"&amp;CONFIG!$B$4&amp;"!$A:$A"),VALUE(E446))&gt;0,"IN PPI","NOT IN PPI"))</f>
        <v/>
      </c>
      <c r="G446">
        <f>IF(F446="","","-")</f>
        <v/>
      </c>
      <c r="H446">
        <f>IF(INPUT!F446="","",INPUT!F446)</f>
        <v/>
      </c>
      <c r="I446">
        <f>IF(F446="","","N/A")</f>
        <v/>
      </c>
    </row>
    <row r="447" ht="15" customHeight="1">
      <c r="A447">
        <f>IF(INPUT!A447="","",INPUT!A447)</f>
        <v/>
      </c>
      <c r="B447">
        <f>IF(INPUT!B447="","",INPUT!B447)</f>
        <v/>
      </c>
      <c r="C447">
        <f>IF(INPUT!C447="","",INPUT!C447)</f>
        <v/>
      </c>
      <c r="D447">
        <f>IF(INPUT!D447="","",INPUT!D447)</f>
        <v/>
      </c>
      <c r="E447">
        <f>IF(INPUT!E447="","",TEXT(INPUT!E447,"0000000000"))</f>
        <v/>
      </c>
      <c r="F447">
        <f>IF(E447="","",IF(COUNTIF(INDIRECT("PPI_"&amp;CONFIG!$B$4&amp;"!$A:$A"),VALUE(E447))&gt;0,"IN PPI","NOT IN PPI"))</f>
        <v/>
      </c>
      <c r="G447">
        <f>IF(F447="","","-")</f>
        <v/>
      </c>
      <c r="H447">
        <f>IF(INPUT!F447="","",INPUT!F447)</f>
        <v/>
      </c>
      <c r="I447">
        <f>IF(F447="","","N/A")</f>
        <v/>
      </c>
    </row>
    <row r="448" ht="15" customHeight="1">
      <c r="A448">
        <f>IF(INPUT!A448="","",INPUT!A448)</f>
        <v/>
      </c>
      <c r="B448">
        <f>IF(INPUT!B448="","",INPUT!B448)</f>
        <v/>
      </c>
      <c r="C448">
        <f>IF(INPUT!C448="","",INPUT!C448)</f>
        <v/>
      </c>
      <c r="D448">
        <f>IF(INPUT!D448="","",INPUT!D448)</f>
        <v/>
      </c>
      <c r="E448">
        <f>IF(INPUT!E448="","",TEXT(INPUT!E448,"0000000000"))</f>
        <v/>
      </c>
      <c r="F448">
        <f>IF(E448="","",IF(COUNTIF(INDIRECT("PPI_"&amp;CONFIG!$B$4&amp;"!$A:$A"),VALUE(E448))&gt;0,"IN PPI","NOT IN PPI"))</f>
        <v/>
      </c>
      <c r="G448">
        <f>IF(F448="","","-")</f>
        <v/>
      </c>
      <c r="H448">
        <f>IF(INPUT!F448="","",INPUT!F448)</f>
        <v/>
      </c>
      <c r="I448">
        <f>IF(F448="","","N/A")</f>
        <v/>
      </c>
    </row>
    <row r="449" ht="15" customHeight="1">
      <c r="A449">
        <f>IF(INPUT!A449="","",INPUT!A449)</f>
        <v/>
      </c>
      <c r="B449">
        <f>IF(INPUT!B449="","",INPUT!B449)</f>
        <v/>
      </c>
      <c r="C449">
        <f>IF(INPUT!C449="","",INPUT!C449)</f>
        <v/>
      </c>
      <c r="D449">
        <f>IF(INPUT!D449="","",INPUT!D449)</f>
        <v/>
      </c>
      <c r="E449">
        <f>IF(INPUT!E449="","",TEXT(INPUT!E449,"0000000000"))</f>
        <v/>
      </c>
      <c r="F449">
        <f>IF(E449="","",IF(COUNTIF(INDIRECT("PPI_"&amp;CONFIG!$B$4&amp;"!$A:$A"),VALUE(E449))&gt;0,"IN PPI","NOT IN PPI"))</f>
        <v/>
      </c>
      <c r="G449">
        <f>IF(F449="","","-")</f>
        <v/>
      </c>
      <c r="H449">
        <f>IF(INPUT!F449="","",INPUT!F449)</f>
        <v/>
      </c>
      <c r="I449">
        <f>IF(F449="","","N/A")</f>
        <v/>
      </c>
    </row>
    <row r="450" ht="15" customHeight="1">
      <c r="A450">
        <f>IF(INPUT!A450="","",INPUT!A450)</f>
        <v/>
      </c>
      <c r="B450">
        <f>IF(INPUT!B450="","",INPUT!B450)</f>
        <v/>
      </c>
      <c r="C450">
        <f>IF(INPUT!C450="","",INPUT!C450)</f>
        <v/>
      </c>
      <c r="D450">
        <f>IF(INPUT!D450="","",INPUT!D450)</f>
        <v/>
      </c>
      <c r="E450">
        <f>IF(INPUT!E450="","",TEXT(INPUT!E450,"0000000000"))</f>
        <v/>
      </c>
      <c r="F450">
        <f>IF(E450="","",IF(COUNTIF(INDIRECT("PPI_"&amp;CONFIG!$B$4&amp;"!$A:$A"),VALUE(E450))&gt;0,"IN PPI","NOT IN PPI"))</f>
        <v/>
      </c>
      <c r="G450">
        <f>IF(F450="","","-")</f>
        <v/>
      </c>
      <c r="H450">
        <f>IF(INPUT!F450="","",INPUT!F450)</f>
        <v/>
      </c>
      <c r="I450">
        <f>IF(F450="","","N/A")</f>
        <v/>
      </c>
    </row>
    <row r="451" ht="15" customHeight="1">
      <c r="A451">
        <f>IF(INPUT!A451="","",INPUT!A451)</f>
        <v/>
      </c>
      <c r="B451">
        <f>IF(INPUT!B451="","",INPUT!B451)</f>
        <v/>
      </c>
      <c r="C451">
        <f>IF(INPUT!C451="","",INPUT!C451)</f>
        <v/>
      </c>
      <c r="D451">
        <f>IF(INPUT!D451="","",INPUT!D451)</f>
        <v/>
      </c>
      <c r="E451">
        <f>IF(INPUT!E451="","",TEXT(INPUT!E451,"0000000000"))</f>
        <v/>
      </c>
      <c r="F451">
        <f>IF(E451="","",IF(COUNTIF(INDIRECT("PPI_"&amp;CONFIG!$B$4&amp;"!$A:$A"),VALUE(E451))&gt;0,"IN PPI","NOT IN PPI"))</f>
        <v/>
      </c>
      <c r="G451">
        <f>IF(F451="","","-")</f>
        <v/>
      </c>
      <c r="H451">
        <f>IF(INPUT!F451="","",INPUT!F451)</f>
        <v/>
      </c>
      <c r="I451">
        <f>IF(F451="","","N/A")</f>
        <v/>
      </c>
    </row>
    <row r="452" ht="15" customHeight="1">
      <c r="A452">
        <f>IF(INPUT!A452="","",INPUT!A452)</f>
        <v/>
      </c>
      <c r="B452">
        <f>IF(INPUT!B452="","",INPUT!B452)</f>
        <v/>
      </c>
      <c r="C452">
        <f>IF(INPUT!C452="","",INPUT!C452)</f>
        <v/>
      </c>
      <c r="D452">
        <f>IF(INPUT!D452="","",INPUT!D452)</f>
        <v/>
      </c>
      <c r="E452">
        <f>IF(INPUT!E452="","",TEXT(INPUT!E452,"0000000000"))</f>
        <v/>
      </c>
      <c r="F452">
        <f>IF(E452="","",IF(COUNTIF(INDIRECT("PPI_"&amp;CONFIG!$B$4&amp;"!$A:$A"),VALUE(E452))&gt;0,"IN PPI","NOT IN PPI"))</f>
        <v/>
      </c>
      <c r="G452">
        <f>IF(F452="","","-")</f>
        <v/>
      </c>
      <c r="H452">
        <f>IF(INPUT!F452="","",INPUT!F452)</f>
        <v/>
      </c>
      <c r="I452">
        <f>IF(F452="","","N/A")</f>
        <v/>
      </c>
    </row>
    <row r="453" ht="15" customHeight="1">
      <c r="A453">
        <f>IF(INPUT!A453="","",INPUT!A453)</f>
        <v/>
      </c>
      <c r="B453">
        <f>IF(INPUT!B453="","",INPUT!B453)</f>
        <v/>
      </c>
      <c r="C453">
        <f>IF(INPUT!C453="","",INPUT!C453)</f>
        <v/>
      </c>
      <c r="D453">
        <f>IF(INPUT!D453="","",INPUT!D453)</f>
        <v/>
      </c>
      <c r="E453">
        <f>IF(INPUT!E453="","",TEXT(INPUT!E453,"0000000000"))</f>
        <v/>
      </c>
      <c r="F453">
        <f>IF(E453="","",IF(COUNTIF(INDIRECT("PPI_"&amp;CONFIG!$B$4&amp;"!$A:$A"),VALUE(E453))&gt;0,"IN PPI","NOT IN PPI"))</f>
        <v/>
      </c>
      <c r="G453">
        <f>IF(F453="","","-")</f>
        <v/>
      </c>
      <c r="H453">
        <f>IF(INPUT!F453="","",INPUT!F453)</f>
        <v/>
      </c>
      <c r="I453">
        <f>IF(F453="","","N/A")</f>
        <v/>
      </c>
    </row>
    <row r="454" ht="15" customHeight="1">
      <c r="A454">
        <f>IF(INPUT!A454="","",INPUT!A454)</f>
        <v/>
      </c>
      <c r="B454">
        <f>IF(INPUT!B454="","",INPUT!B454)</f>
        <v/>
      </c>
      <c r="C454">
        <f>IF(INPUT!C454="","",INPUT!C454)</f>
        <v/>
      </c>
      <c r="D454">
        <f>IF(INPUT!D454="","",INPUT!D454)</f>
        <v/>
      </c>
      <c r="E454">
        <f>IF(INPUT!E454="","",TEXT(INPUT!E454,"0000000000"))</f>
        <v/>
      </c>
      <c r="F454">
        <f>IF(E454="","",IF(COUNTIF(INDIRECT("PPI_"&amp;CONFIG!$B$4&amp;"!$A:$A"),VALUE(E454))&gt;0,"IN PPI","NOT IN PPI"))</f>
        <v/>
      </c>
      <c r="G454">
        <f>IF(F454="","","-")</f>
        <v/>
      </c>
      <c r="H454">
        <f>IF(INPUT!F454="","",INPUT!F454)</f>
        <v/>
      </c>
      <c r="I454">
        <f>IF(F454="","","N/A")</f>
        <v/>
      </c>
    </row>
    <row r="455" ht="15" customHeight="1">
      <c r="A455">
        <f>IF(INPUT!A455="","",INPUT!A455)</f>
        <v/>
      </c>
      <c r="B455">
        <f>IF(INPUT!B455="","",INPUT!B455)</f>
        <v/>
      </c>
      <c r="C455">
        <f>IF(INPUT!C455="","",INPUT!C455)</f>
        <v/>
      </c>
      <c r="D455">
        <f>IF(INPUT!D455="","",INPUT!D455)</f>
        <v/>
      </c>
      <c r="E455">
        <f>IF(INPUT!E455="","",TEXT(INPUT!E455,"0000000000"))</f>
        <v/>
      </c>
      <c r="F455">
        <f>IF(E455="","",IF(COUNTIF(INDIRECT("PPI_"&amp;CONFIG!$B$4&amp;"!$A:$A"),VALUE(E455))&gt;0,"IN PPI","NOT IN PPI"))</f>
        <v/>
      </c>
      <c r="G455">
        <f>IF(F455="","","-")</f>
        <v/>
      </c>
      <c r="H455">
        <f>IF(INPUT!F455="","",INPUT!F455)</f>
        <v/>
      </c>
      <c r="I455">
        <f>IF(F455="","","N/A")</f>
        <v/>
      </c>
    </row>
    <row r="456" ht="15" customHeight="1">
      <c r="A456">
        <f>IF(INPUT!A456="","",INPUT!A456)</f>
        <v/>
      </c>
      <c r="B456">
        <f>IF(INPUT!B456="","",INPUT!B456)</f>
        <v/>
      </c>
      <c r="C456">
        <f>IF(INPUT!C456="","",INPUT!C456)</f>
        <v/>
      </c>
      <c r="D456">
        <f>IF(INPUT!D456="","",INPUT!D456)</f>
        <v/>
      </c>
      <c r="E456">
        <f>IF(INPUT!E456="","",TEXT(INPUT!E456,"0000000000"))</f>
        <v/>
      </c>
      <c r="F456">
        <f>IF(E456="","",IF(COUNTIF(INDIRECT("PPI_"&amp;CONFIG!$B$4&amp;"!$A:$A"),VALUE(E456))&gt;0,"IN PPI","NOT IN PPI"))</f>
        <v/>
      </c>
      <c r="G456">
        <f>IF(F456="","","-")</f>
        <v/>
      </c>
      <c r="H456">
        <f>IF(INPUT!F456="","",INPUT!F456)</f>
        <v/>
      </c>
      <c r="I456">
        <f>IF(F456="","","N/A")</f>
        <v/>
      </c>
    </row>
    <row r="457" ht="15" customHeight="1">
      <c r="A457">
        <f>IF(INPUT!A457="","",INPUT!A457)</f>
        <v/>
      </c>
      <c r="B457">
        <f>IF(INPUT!B457="","",INPUT!B457)</f>
        <v/>
      </c>
      <c r="C457">
        <f>IF(INPUT!C457="","",INPUT!C457)</f>
        <v/>
      </c>
      <c r="D457">
        <f>IF(INPUT!D457="","",INPUT!D457)</f>
        <v/>
      </c>
      <c r="E457">
        <f>IF(INPUT!E457="","",TEXT(INPUT!E457,"0000000000"))</f>
        <v/>
      </c>
      <c r="F457">
        <f>IF(E457="","",IF(COUNTIF(INDIRECT("PPI_"&amp;CONFIG!$B$4&amp;"!$A:$A"),VALUE(E457))&gt;0,"IN PPI","NOT IN PPI"))</f>
        <v/>
      </c>
      <c r="G457">
        <f>IF(F457="","","-")</f>
        <v/>
      </c>
      <c r="H457">
        <f>IF(INPUT!F457="","",INPUT!F457)</f>
        <v/>
      </c>
      <c r="I457">
        <f>IF(F457="","","N/A")</f>
        <v/>
      </c>
    </row>
    <row r="458" ht="15" customHeight="1">
      <c r="A458">
        <f>IF(INPUT!A458="","",INPUT!A458)</f>
        <v/>
      </c>
      <c r="B458">
        <f>IF(INPUT!B458="","",INPUT!B458)</f>
        <v/>
      </c>
      <c r="C458">
        <f>IF(INPUT!C458="","",INPUT!C458)</f>
        <v/>
      </c>
      <c r="D458">
        <f>IF(INPUT!D458="","",INPUT!D458)</f>
        <v/>
      </c>
      <c r="E458">
        <f>IF(INPUT!E458="","",TEXT(INPUT!E458,"0000000000"))</f>
        <v/>
      </c>
      <c r="F458">
        <f>IF(E458="","",IF(COUNTIF(INDIRECT("PPI_"&amp;CONFIG!$B$4&amp;"!$A:$A"),VALUE(E458))&gt;0,"IN PPI","NOT IN PPI"))</f>
        <v/>
      </c>
      <c r="G458">
        <f>IF(F458="","","-")</f>
        <v/>
      </c>
      <c r="H458">
        <f>IF(INPUT!F458="","",INPUT!F458)</f>
        <v/>
      </c>
      <c r="I458">
        <f>IF(F458="","","N/A")</f>
        <v/>
      </c>
    </row>
    <row r="459" ht="15" customHeight="1">
      <c r="A459">
        <f>IF(INPUT!A459="","",INPUT!A459)</f>
        <v/>
      </c>
      <c r="B459">
        <f>IF(INPUT!B459="","",INPUT!B459)</f>
        <v/>
      </c>
      <c r="C459">
        <f>IF(INPUT!C459="","",INPUT!C459)</f>
        <v/>
      </c>
      <c r="D459">
        <f>IF(INPUT!D459="","",INPUT!D459)</f>
        <v/>
      </c>
      <c r="E459">
        <f>IF(INPUT!E459="","",TEXT(INPUT!E459,"0000000000"))</f>
        <v/>
      </c>
      <c r="F459">
        <f>IF(E459="","",IF(COUNTIF(INDIRECT("PPI_"&amp;CONFIG!$B$4&amp;"!$A:$A"),VALUE(E459))&gt;0,"IN PPI","NOT IN PPI"))</f>
        <v/>
      </c>
      <c r="G459">
        <f>IF(F459="","","-")</f>
        <v/>
      </c>
      <c r="H459">
        <f>IF(INPUT!F459="","",INPUT!F459)</f>
        <v/>
      </c>
      <c r="I459">
        <f>IF(F459="","","N/A")</f>
        <v/>
      </c>
    </row>
    <row r="460" ht="15" customHeight="1">
      <c r="A460">
        <f>IF(INPUT!A460="","",INPUT!A460)</f>
        <v/>
      </c>
      <c r="B460">
        <f>IF(INPUT!B460="","",INPUT!B460)</f>
        <v/>
      </c>
      <c r="C460">
        <f>IF(INPUT!C460="","",INPUT!C460)</f>
        <v/>
      </c>
      <c r="D460">
        <f>IF(INPUT!D460="","",INPUT!D460)</f>
        <v/>
      </c>
      <c r="E460">
        <f>IF(INPUT!E460="","",TEXT(INPUT!E460,"0000000000"))</f>
        <v/>
      </c>
      <c r="F460">
        <f>IF(E460="","",IF(COUNTIF(INDIRECT("PPI_"&amp;CONFIG!$B$4&amp;"!$A:$A"),VALUE(E460))&gt;0,"IN PPI","NOT IN PPI"))</f>
        <v/>
      </c>
      <c r="G460">
        <f>IF(F460="","","-")</f>
        <v/>
      </c>
      <c r="H460">
        <f>IF(INPUT!F460="","",INPUT!F460)</f>
        <v/>
      </c>
      <c r="I460">
        <f>IF(F460="","","N/A")</f>
        <v/>
      </c>
    </row>
    <row r="461" ht="15" customHeight="1">
      <c r="A461">
        <f>IF(INPUT!A461="","",INPUT!A461)</f>
        <v/>
      </c>
      <c r="B461">
        <f>IF(INPUT!B461="","",INPUT!B461)</f>
        <v/>
      </c>
      <c r="C461">
        <f>IF(INPUT!C461="","",INPUT!C461)</f>
        <v/>
      </c>
      <c r="D461">
        <f>IF(INPUT!D461="","",INPUT!D461)</f>
        <v/>
      </c>
      <c r="E461">
        <f>IF(INPUT!E461="","",TEXT(INPUT!E461,"0000000000"))</f>
        <v/>
      </c>
      <c r="F461">
        <f>IF(E461="","",IF(COUNTIF(INDIRECT("PPI_"&amp;CONFIG!$B$4&amp;"!$A:$A"),VALUE(E461))&gt;0,"IN PPI","NOT IN PPI"))</f>
        <v/>
      </c>
      <c r="G461">
        <f>IF(F461="","","-")</f>
        <v/>
      </c>
      <c r="H461">
        <f>IF(INPUT!F461="","",INPUT!F461)</f>
        <v/>
      </c>
      <c r="I461">
        <f>IF(F461="","","N/A")</f>
        <v/>
      </c>
    </row>
    <row r="462" ht="15" customHeight="1">
      <c r="A462">
        <f>IF(INPUT!A462="","",INPUT!A462)</f>
        <v/>
      </c>
      <c r="B462">
        <f>IF(INPUT!B462="","",INPUT!B462)</f>
        <v/>
      </c>
      <c r="C462">
        <f>IF(INPUT!C462="","",INPUT!C462)</f>
        <v/>
      </c>
      <c r="D462">
        <f>IF(INPUT!D462="","",INPUT!D462)</f>
        <v/>
      </c>
      <c r="E462">
        <f>IF(INPUT!E462="","",TEXT(INPUT!E462,"0000000000"))</f>
        <v/>
      </c>
      <c r="F462">
        <f>IF(E462="","",IF(COUNTIF(INDIRECT("PPI_"&amp;CONFIG!$B$4&amp;"!$A:$A"),VALUE(E462))&gt;0,"IN PPI","NOT IN PPI"))</f>
        <v/>
      </c>
      <c r="G462">
        <f>IF(F462="","","-")</f>
        <v/>
      </c>
      <c r="H462">
        <f>IF(INPUT!F462="","",INPUT!F462)</f>
        <v/>
      </c>
      <c r="I462">
        <f>IF(F462="","","N/A")</f>
        <v/>
      </c>
    </row>
    <row r="463" ht="15" customHeight="1">
      <c r="A463">
        <f>IF(INPUT!A463="","",INPUT!A463)</f>
        <v/>
      </c>
      <c r="B463">
        <f>IF(INPUT!B463="","",INPUT!B463)</f>
        <v/>
      </c>
      <c r="C463">
        <f>IF(INPUT!C463="","",INPUT!C463)</f>
        <v/>
      </c>
      <c r="D463">
        <f>IF(INPUT!D463="","",INPUT!D463)</f>
        <v/>
      </c>
      <c r="E463">
        <f>IF(INPUT!E463="","",TEXT(INPUT!E463,"0000000000"))</f>
        <v/>
      </c>
      <c r="F463">
        <f>IF(E463="","",IF(COUNTIF(INDIRECT("PPI_"&amp;CONFIG!$B$4&amp;"!$A:$A"),VALUE(E463))&gt;0,"IN PPI","NOT IN PPI"))</f>
        <v/>
      </c>
      <c r="G463">
        <f>IF(F463="","","-")</f>
        <v/>
      </c>
      <c r="H463">
        <f>IF(INPUT!F463="","",INPUT!F463)</f>
        <v/>
      </c>
      <c r="I463">
        <f>IF(F463="","","N/A")</f>
        <v/>
      </c>
    </row>
    <row r="464" ht="15" customHeight="1">
      <c r="A464">
        <f>IF(INPUT!A464="","",INPUT!A464)</f>
        <v/>
      </c>
      <c r="B464">
        <f>IF(INPUT!B464="","",INPUT!B464)</f>
        <v/>
      </c>
      <c r="C464">
        <f>IF(INPUT!C464="","",INPUT!C464)</f>
        <v/>
      </c>
      <c r="D464">
        <f>IF(INPUT!D464="","",INPUT!D464)</f>
        <v/>
      </c>
      <c r="E464">
        <f>IF(INPUT!E464="","",TEXT(INPUT!E464,"0000000000"))</f>
        <v/>
      </c>
      <c r="F464">
        <f>IF(E464="","",IF(COUNTIF(INDIRECT("PPI_"&amp;CONFIG!$B$4&amp;"!$A:$A"),VALUE(E464))&gt;0,"IN PPI","NOT IN PPI"))</f>
        <v/>
      </c>
      <c r="G464">
        <f>IF(F464="","","-")</f>
        <v/>
      </c>
      <c r="H464">
        <f>IF(INPUT!F464="","",INPUT!F464)</f>
        <v/>
      </c>
      <c r="I464">
        <f>IF(F464="","","N/A")</f>
        <v/>
      </c>
    </row>
    <row r="465" ht="15" customHeight="1">
      <c r="A465">
        <f>IF(INPUT!A465="","",INPUT!A465)</f>
        <v/>
      </c>
      <c r="B465">
        <f>IF(INPUT!B465="","",INPUT!B465)</f>
        <v/>
      </c>
      <c r="C465">
        <f>IF(INPUT!C465="","",INPUT!C465)</f>
        <v/>
      </c>
      <c r="D465">
        <f>IF(INPUT!D465="","",INPUT!D465)</f>
        <v/>
      </c>
      <c r="E465">
        <f>IF(INPUT!E465="","",TEXT(INPUT!E465,"0000000000"))</f>
        <v/>
      </c>
      <c r="F465">
        <f>IF(E465="","",IF(COUNTIF(INDIRECT("PPI_"&amp;CONFIG!$B$4&amp;"!$A:$A"),VALUE(E465))&gt;0,"IN PPI","NOT IN PPI"))</f>
        <v/>
      </c>
      <c r="G465">
        <f>IF(F465="","","-")</f>
        <v/>
      </c>
      <c r="H465">
        <f>IF(INPUT!F465="","",INPUT!F465)</f>
        <v/>
      </c>
      <c r="I465">
        <f>IF(F465="","","N/A")</f>
        <v/>
      </c>
    </row>
    <row r="466" ht="15" customHeight="1">
      <c r="A466">
        <f>IF(INPUT!A466="","",INPUT!A466)</f>
        <v/>
      </c>
      <c r="B466">
        <f>IF(INPUT!B466="","",INPUT!B466)</f>
        <v/>
      </c>
      <c r="C466">
        <f>IF(INPUT!C466="","",INPUT!C466)</f>
        <v/>
      </c>
      <c r="D466">
        <f>IF(INPUT!D466="","",INPUT!D466)</f>
        <v/>
      </c>
      <c r="E466">
        <f>IF(INPUT!E466="","",TEXT(INPUT!E466,"0000000000"))</f>
        <v/>
      </c>
      <c r="F466">
        <f>IF(E466="","",IF(COUNTIF(INDIRECT("PPI_"&amp;CONFIG!$B$4&amp;"!$A:$A"),VALUE(E466))&gt;0,"IN PPI","NOT IN PPI"))</f>
        <v/>
      </c>
      <c r="G466">
        <f>IF(F466="","","-")</f>
        <v/>
      </c>
      <c r="H466">
        <f>IF(INPUT!F466="","",INPUT!F466)</f>
        <v/>
      </c>
      <c r="I466">
        <f>IF(F466="","","N/A")</f>
        <v/>
      </c>
    </row>
    <row r="467" ht="15" customHeight="1">
      <c r="A467">
        <f>IF(INPUT!A467="","",INPUT!A467)</f>
        <v/>
      </c>
      <c r="B467">
        <f>IF(INPUT!B467="","",INPUT!B467)</f>
        <v/>
      </c>
      <c r="C467">
        <f>IF(INPUT!C467="","",INPUT!C467)</f>
        <v/>
      </c>
      <c r="D467">
        <f>IF(INPUT!D467="","",INPUT!D467)</f>
        <v/>
      </c>
      <c r="E467">
        <f>IF(INPUT!E467="","",TEXT(INPUT!E467,"0000000000"))</f>
        <v/>
      </c>
      <c r="F467">
        <f>IF(E467="","",IF(COUNTIF(INDIRECT("PPI_"&amp;CONFIG!$B$4&amp;"!$A:$A"),VALUE(E467))&gt;0,"IN PPI","NOT IN PPI"))</f>
        <v/>
      </c>
      <c r="G467">
        <f>IF(F467="","","-")</f>
        <v/>
      </c>
      <c r="H467">
        <f>IF(INPUT!F467="","",INPUT!F467)</f>
        <v/>
      </c>
      <c r="I467">
        <f>IF(F467="","","N/A")</f>
        <v/>
      </c>
    </row>
    <row r="468" ht="15" customHeight="1">
      <c r="A468">
        <f>IF(INPUT!A468="","",INPUT!A468)</f>
        <v/>
      </c>
      <c r="B468">
        <f>IF(INPUT!B468="","",INPUT!B468)</f>
        <v/>
      </c>
      <c r="C468">
        <f>IF(INPUT!C468="","",INPUT!C468)</f>
        <v/>
      </c>
      <c r="D468">
        <f>IF(INPUT!D468="","",INPUT!D468)</f>
        <v/>
      </c>
      <c r="E468">
        <f>IF(INPUT!E468="","",TEXT(INPUT!E468,"0000000000"))</f>
        <v/>
      </c>
      <c r="F468">
        <f>IF(E468="","",IF(COUNTIF(INDIRECT("PPI_"&amp;CONFIG!$B$4&amp;"!$A:$A"),VALUE(E468))&gt;0,"IN PPI","NOT IN PPI"))</f>
        <v/>
      </c>
      <c r="G468">
        <f>IF(F468="","","-")</f>
        <v/>
      </c>
      <c r="H468">
        <f>IF(INPUT!F468="","",INPUT!F468)</f>
        <v/>
      </c>
      <c r="I468">
        <f>IF(F468="","","N/A")</f>
        <v/>
      </c>
    </row>
    <row r="469" ht="15" customHeight="1">
      <c r="A469">
        <f>IF(INPUT!A469="","",INPUT!A469)</f>
        <v/>
      </c>
      <c r="B469">
        <f>IF(INPUT!B469="","",INPUT!B469)</f>
        <v/>
      </c>
      <c r="C469">
        <f>IF(INPUT!C469="","",INPUT!C469)</f>
        <v/>
      </c>
      <c r="D469">
        <f>IF(INPUT!D469="","",INPUT!D469)</f>
        <v/>
      </c>
      <c r="E469">
        <f>IF(INPUT!E469="","",TEXT(INPUT!E469,"0000000000"))</f>
        <v/>
      </c>
      <c r="F469">
        <f>IF(E469="","",IF(COUNTIF(INDIRECT("PPI_"&amp;CONFIG!$B$4&amp;"!$A:$A"),VALUE(E469))&gt;0,"IN PPI","NOT IN PPI"))</f>
        <v/>
      </c>
      <c r="G469">
        <f>IF(F469="","","-")</f>
        <v/>
      </c>
      <c r="H469">
        <f>IF(INPUT!F469="","",INPUT!F469)</f>
        <v/>
      </c>
      <c r="I469">
        <f>IF(F469="","","N/A")</f>
        <v/>
      </c>
    </row>
    <row r="470" ht="15" customHeight="1">
      <c r="A470">
        <f>IF(INPUT!A470="","",INPUT!A470)</f>
        <v/>
      </c>
      <c r="B470">
        <f>IF(INPUT!B470="","",INPUT!B470)</f>
        <v/>
      </c>
      <c r="C470">
        <f>IF(INPUT!C470="","",INPUT!C470)</f>
        <v/>
      </c>
      <c r="D470">
        <f>IF(INPUT!D470="","",INPUT!D470)</f>
        <v/>
      </c>
      <c r="E470">
        <f>IF(INPUT!E470="","",TEXT(INPUT!E470,"0000000000"))</f>
        <v/>
      </c>
      <c r="F470">
        <f>IF(E470="","",IF(COUNTIF(INDIRECT("PPI_"&amp;CONFIG!$B$4&amp;"!$A:$A"),VALUE(E470))&gt;0,"IN PPI","NOT IN PPI"))</f>
        <v/>
      </c>
      <c r="G470">
        <f>IF(F470="","","-")</f>
        <v/>
      </c>
      <c r="H470">
        <f>IF(INPUT!F470="","",INPUT!F470)</f>
        <v/>
      </c>
      <c r="I470">
        <f>IF(F470="","","N/A")</f>
        <v/>
      </c>
    </row>
    <row r="471" ht="15" customHeight="1">
      <c r="A471">
        <f>IF(INPUT!A471="","",INPUT!A471)</f>
        <v/>
      </c>
      <c r="B471">
        <f>IF(INPUT!B471="","",INPUT!B471)</f>
        <v/>
      </c>
      <c r="C471">
        <f>IF(INPUT!C471="","",INPUT!C471)</f>
        <v/>
      </c>
      <c r="D471">
        <f>IF(INPUT!D471="","",INPUT!D471)</f>
        <v/>
      </c>
      <c r="E471">
        <f>IF(INPUT!E471="","",TEXT(INPUT!E471,"0000000000"))</f>
        <v/>
      </c>
      <c r="F471">
        <f>IF(E471="","",IF(COUNTIF(INDIRECT("PPI_"&amp;CONFIG!$B$4&amp;"!$A:$A"),VALUE(E471))&gt;0,"IN PPI","NOT IN PPI"))</f>
        <v/>
      </c>
      <c r="G471">
        <f>IF(F471="","","-")</f>
        <v/>
      </c>
      <c r="H471">
        <f>IF(INPUT!F471="","",INPUT!F471)</f>
        <v/>
      </c>
      <c r="I471">
        <f>IF(F471="","","N/A")</f>
        <v/>
      </c>
    </row>
    <row r="472" ht="15" customHeight="1">
      <c r="A472">
        <f>IF(INPUT!A472="","",INPUT!A472)</f>
        <v/>
      </c>
      <c r="B472">
        <f>IF(INPUT!B472="","",INPUT!B472)</f>
        <v/>
      </c>
      <c r="C472">
        <f>IF(INPUT!C472="","",INPUT!C472)</f>
        <v/>
      </c>
      <c r="D472">
        <f>IF(INPUT!D472="","",INPUT!D472)</f>
        <v/>
      </c>
      <c r="E472">
        <f>IF(INPUT!E472="","",TEXT(INPUT!E472,"0000000000"))</f>
        <v/>
      </c>
      <c r="F472">
        <f>IF(E472="","",IF(COUNTIF(INDIRECT("PPI_"&amp;CONFIG!$B$4&amp;"!$A:$A"),VALUE(E472))&gt;0,"IN PPI","NOT IN PPI"))</f>
        <v/>
      </c>
      <c r="G472">
        <f>IF(F472="","","-")</f>
        <v/>
      </c>
      <c r="H472">
        <f>IF(INPUT!F472="","",INPUT!F472)</f>
        <v/>
      </c>
      <c r="I472">
        <f>IF(F472="","","N/A")</f>
        <v/>
      </c>
    </row>
    <row r="473" ht="15" customHeight="1">
      <c r="A473">
        <f>IF(INPUT!A473="","",INPUT!A473)</f>
        <v/>
      </c>
      <c r="B473">
        <f>IF(INPUT!B473="","",INPUT!B473)</f>
        <v/>
      </c>
      <c r="C473">
        <f>IF(INPUT!C473="","",INPUT!C473)</f>
        <v/>
      </c>
      <c r="D473">
        <f>IF(INPUT!D473="","",INPUT!D473)</f>
        <v/>
      </c>
      <c r="E473">
        <f>IF(INPUT!E473="","",TEXT(INPUT!E473,"0000000000"))</f>
        <v/>
      </c>
      <c r="F473">
        <f>IF(E473="","",IF(COUNTIF(INDIRECT("PPI_"&amp;CONFIG!$B$4&amp;"!$A:$A"),VALUE(E473))&gt;0,"IN PPI","NOT IN PPI"))</f>
        <v/>
      </c>
      <c r="G473">
        <f>IF(F473="","","-")</f>
        <v/>
      </c>
      <c r="H473">
        <f>IF(INPUT!F473="","",INPUT!F473)</f>
        <v/>
      </c>
      <c r="I473">
        <f>IF(F473="","","N/A")</f>
        <v/>
      </c>
    </row>
    <row r="474" ht="15" customHeight="1">
      <c r="A474">
        <f>IF(INPUT!A474="","",INPUT!A474)</f>
        <v/>
      </c>
      <c r="B474">
        <f>IF(INPUT!B474="","",INPUT!B474)</f>
        <v/>
      </c>
      <c r="C474">
        <f>IF(INPUT!C474="","",INPUT!C474)</f>
        <v/>
      </c>
      <c r="D474">
        <f>IF(INPUT!D474="","",INPUT!D474)</f>
        <v/>
      </c>
      <c r="E474">
        <f>IF(INPUT!E474="","",TEXT(INPUT!E474,"0000000000"))</f>
        <v/>
      </c>
      <c r="F474">
        <f>IF(E474="","",IF(COUNTIF(INDIRECT("PPI_"&amp;CONFIG!$B$4&amp;"!$A:$A"),VALUE(E474))&gt;0,"IN PPI","NOT IN PPI"))</f>
        <v/>
      </c>
      <c r="G474">
        <f>IF(F474="","","-")</f>
        <v/>
      </c>
      <c r="H474">
        <f>IF(INPUT!F474="","",INPUT!F474)</f>
        <v/>
      </c>
      <c r="I474">
        <f>IF(F474="","","N/A")</f>
        <v/>
      </c>
    </row>
    <row r="475" ht="15" customHeight="1">
      <c r="A475">
        <f>IF(INPUT!A475="","",INPUT!A475)</f>
        <v/>
      </c>
      <c r="B475">
        <f>IF(INPUT!B475="","",INPUT!B475)</f>
        <v/>
      </c>
      <c r="C475">
        <f>IF(INPUT!C475="","",INPUT!C475)</f>
        <v/>
      </c>
      <c r="D475">
        <f>IF(INPUT!D475="","",INPUT!D475)</f>
        <v/>
      </c>
      <c r="E475">
        <f>IF(INPUT!E475="","",TEXT(INPUT!E475,"0000000000"))</f>
        <v/>
      </c>
      <c r="F475">
        <f>IF(E475="","",IF(COUNTIF(INDIRECT("PPI_"&amp;CONFIG!$B$4&amp;"!$A:$A"),VALUE(E475))&gt;0,"IN PPI","NOT IN PPI"))</f>
        <v/>
      </c>
      <c r="G475">
        <f>IF(F475="","","-")</f>
        <v/>
      </c>
      <c r="H475">
        <f>IF(INPUT!F475="","",INPUT!F475)</f>
        <v/>
      </c>
      <c r="I475">
        <f>IF(F475="","","N/A")</f>
        <v/>
      </c>
    </row>
    <row r="476" ht="15" customHeight="1">
      <c r="A476">
        <f>IF(INPUT!A476="","",INPUT!A476)</f>
        <v/>
      </c>
      <c r="B476">
        <f>IF(INPUT!B476="","",INPUT!B476)</f>
        <v/>
      </c>
      <c r="C476">
        <f>IF(INPUT!C476="","",INPUT!C476)</f>
        <v/>
      </c>
      <c r="D476">
        <f>IF(INPUT!D476="","",INPUT!D476)</f>
        <v/>
      </c>
      <c r="E476">
        <f>IF(INPUT!E476="","",TEXT(INPUT!E476,"0000000000"))</f>
        <v/>
      </c>
      <c r="F476">
        <f>IF(E476="","",IF(COUNTIF(INDIRECT("PPI_"&amp;CONFIG!$B$4&amp;"!$A:$A"),VALUE(E476))&gt;0,"IN PPI","NOT IN PPI"))</f>
        <v/>
      </c>
      <c r="G476">
        <f>IF(F476="","","-")</f>
        <v/>
      </c>
      <c r="H476">
        <f>IF(INPUT!F476="","",INPUT!F476)</f>
        <v/>
      </c>
      <c r="I476">
        <f>IF(F476="","","N/A")</f>
        <v/>
      </c>
    </row>
    <row r="477" ht="15" customHeight="1">
      <c r="A477">
        <f>IF(INPUT!A477="","",INPUT!A477)</f>
        <v/>
      </c>
      <c r="B477">
        <f>IF(INPUT!B477="","",INPUT!B477)</f>
        <v/>
      </c>
      <c r="C477">
        <f>IF(INPUT!C477="","",INPUT!C477)</f>
        <v/>
      </c>
      <c r="D477">
        <f>IF(INPUT!D477="","",INPUT!D477)</f>
        <v/>
      </c>
      <c r="E477">
        <f>IF(INPUT!E477="","",TEXT(INPUT!E477,"0000000000"))</f>
        <v/>
      </c>
      <c r="F477">
        <f>IF(E477="","",IF(COUNTIF(INDIRECT("PPI_"&amp;CONFIG!$B$4&amp;"!$A:$A"),VALUE(E477))&gt;0,"IN PPI","NOT IN PPI"))</f>
        <v/>
      </c>
      <c r="G477">
        <f>IF(F477="","","-")</f>
        <v/>
      </c>
      <c r="H477">
        <f>IF(INPUT!F477="","",INPUT!F477)</f>
        <v/>
      </c>
      <c r="I477">
        <f>IF(F477="","","N/A")</f>
        <v/>
      </c>
    </row>
    <row r="478" ht="15" customHeight="1">
      <c r="A478">
        <f>IF(INPUT!A478="","",INPUT!A478)</f>
        <v/>
      </c>
      <c r="B478">
        <f>IF(INPUT!B478="","",INPUT!B478)</f>
        <v/>
      </c>
      <c r="C478">
        <f>IF(INPUT!C478="","",INPUT!C478)</f>
        <v/>
      </c>
      <c r="D478">
        <f>IF(INPUT!D478="","",INPUT!D478)</f>
        <v/>
      </c>
      <c r="E478">
        <f>IF(INPUT!E478="","",TEXT(INPUT!E478,"0000000000"))</f>
        <v/>
      </c>
      <c r="F478">
        <f>IF(E478="","",IF(COUNTIF(INDIRECT("PPI_"&amp;CONFIG!$B$4&amp;"!$A:$A"),VALUE(E478))&gt;0,"IN PPI","NOT IN PPI"))</f>
        <v/>
      </c>
      <c r="G478">
        <f>IF(F478="","","-")</f>
        <v/>
      </c>
      <c r="H478">
        <f>IF(INPUT!F478="","",INPUT!F478)</f>
        <v/>
      </c>
      <c r="I478">
        <f>IF(F478="","","N/A")</f>
        <v/>
      </c>
    </row>
    <row r="479" ht="15" customHeight="1">
      <c r="A479">
        <f>IF(INPUT!A479="","",INPUT!A479)</f>
        <v/>
      </c>
      <c r="B479">
        <f>IF(INPUT!B479="","",INPUT!B479)</f>
        <v/>
      </c>
      <c r="C479">
        <f>IF(INPUT!C479="","",INPUT!C479)</f>
        <v/>
      </c>
      <c r="D479">
        <f>IF(INPUT!D479="","",INPUT!D479)</f>
        <v/>
      </c>
      <c r="E479">
        <f>IF(INPUT!E479="","",TEXT(INPUT!E479,"0000000000"))</f>
        <v/>
      </c>
      <c r="F479">
        <f>IF(E479="","",IF(COUNTIF(INDIRECT("PPI_"&amp;CONFIG!$B$4&amp;"!$A:$A"),VALUE(E479))&gt;0,"IN PPI","NOT IN PPI"))</f>
        <v/>
      </c>
      <c r="G479">
        <f>IF(F479="","","-")</f>
        <v/>
      </c>
      <c r="H479">
        <f>IF(INPUT!F479="","",INPUT!F479)</f>
        <v/>
      </c>
      <c r="I479">
        <f>IF(F479="","","N/A")</f>
        <v/>
      </c>
    </row>
    <row r="480" ht="15" customHeight="1">
      <c r="A480">
        <f>IF(INPUT!A480="","",INPUT!A480)</f>
        <v/>
      </c>
      <c r="B480">
        <f>IF(INPUT!B480="","",INPUT!B480)</f>
        <v/>
      </c>
      <c r="C480">
        <f>IF(INPUT!C480="","",INPUT!C480)</f>
        <v/>
      </c>
      <c r="D480">
        <f>IF(INPUT!D480="","",INPUT!D480)</f>
        <v/>
      </c>
      <c r="E480">
        <f>IF(INPUT!E480="","",TEXT(INPUT!E480,"0000000000"))</f>
        <v/>
      </c>
      <c r="F480">
        <f>IF(E480="","",IF(COUNTIF(INDIRECT("PPI_"&amp;CONFIG!$B$4&amp;"!$A:$A"),VALUE(E480))&gt;0,"IN PPI","NOT IN PPI"))</f>
        <v/>
      </c>
      <c r="G480">
        <f>IF(F480="","","-")</f>
        <v/>
      </c>
      <c r="H480">
        <f>IF(INPUT!F480="","",INPUT!F480)</f>
        <v/>
      </c>
      <c r="I480">
        <f>IF(F480="","","N/A")</f>
        <v/>
      </c>
    </row>
    <row r="481" ht="15" customHeight="1">
      <c r="A481">
        <f>IF(INPUT!A481="","",INPUT!A481)</f>
        <v/>
      </c>
      <c r="B481">
        <f>IF(INPUT!B481="","",INPUT!B481)</f>
        <v/>
      </c>
      <c r="C481">
        <f>IF(INPUT!C481="","",INPUT!C481)</f>
        <v/>
      </c>
      <c r="D481">
        <f>IF(INPUT!D481="","",INPUT!D481)</f>
        <v/>
      </c>
      <c r="E481">
        <f>IF(INPUT!E481="","",TEXT(INPUT!E481,"0000000000"))</f>
        <v/>
      </c>
      <c r="F481">
        <f>IF(E481="","",IF(COUNTIF(INDIRECT("PPI_"&amp;CONFIG!$B$4&amp;"!$A:$A"),VALUE(E481))&gt;0,"IN PPI","NOT IN PPI"))</f>
        <v/>
      </c>
      <c r="G481">
        <f>IF(F481="","","-")</f>
        <v/>
      </c>
      <c r="H481">
        <f>IF(INPUT!F481="","",INPUT!F481)</f>
        <v/>
      </c>
      <c r="I481">
        <f>IF(F481="","","N/A")</f>
        <v/>
      </c>
    </row>
    <row r="482" ht="15" customHeight="1">
      <c r="A482">
        <f>IF(INPUT!A482="","",INPUT!A482)</f>
        <v/>
      </c>
      <c r="B482">
        <f>IF(INPUT!B482="","",INPUT!B482)</f>
        <v/>
      </c>
      <c r="C482">
        <f>IF(INPUT!C482="","",INPUT!C482)</f>
        <v/>
      </c>
      <c r="D482">
        <f>IF(INPUT!D482="","",INPUT!D482)</f>
        <v/>
      </c>
      <c r="E482">
        <f>IF(INPUT!E482="","",TEXT(INPUT!E482,"0000000000"))</f>
        <v/>
      </c>
      <c r="F482">
        <f>IF(E482="","",IF(COUNTIF(INDIRECT("PPI_"&amp;CONFIG!$B$4&amp;"!$A:$A"),VALUE(E482))&gt;0,"IN PPI","NOT IN PPI"))</f>
        <v/>
      </c>
      <c r="G482">
        <f>IF(F482="","","-")</f>
        <v/>
      </c>
      <c r="H482">
        <f>IF(INPUT!F482="","",INPUT!F482)</f>
        <v/>
      </c>
      <c r="I482">
        <f>IF(F482="","","N/A")</f>
        <v/>
      </c>
    </row>
    <row r="483" ht="15" customHeight="1">
      <c r="A483">
        <f>IF(INPUT!A483="","",INPUT!A483)</f>
        <v/>
      </c>
      <c r="B483">
        <f>IF(INPUT!B483="","",INPUT!B483)</f>
        <v/>
      </c>
      <c r="C483">
        <f>IF(INPUT!C483="","",INPUT!C483)</f>
        <v/>
      </c>
      <c r="D483">
        <f>IF(INPUT!D483="","",INPUT!D483)</f>
        <v/>
      </c>
      <c r="E483">
        <f>IF(INPUT!E483="","",TEXT(INPUT!E483,"0000000000"))</f>
        <v/>
      </c>
      <c r="F483">
        <f>IF(E483="","",IF(COUNTIF(INDIRECT("PPI_"&amp;CONFIG!$B$4&amp;"!$A:$A"),VALUE(E483))&gt;0,"IN PPI","NOT IN PPI"))</f>
        <v/>
      </c>
      <c r="G483">
        <f>IF(F483="","","-")</f>
        <v/>
      </c>
      <c r="H483">
        <f>IF(INPUT!F483="","",INPUT!F483)</f>
        <v/>
      </c>
      <c r="I483">
        <f>IF(F483="","","N/A")</f>
        <v/>
      </c>
    </row>
    <row r="484" ht="15" customHeight="1">
      <c r="A484">
        <f>IF(INPUT!A484="","",INPUT!A484)</f>
        <v/>
      </c>
      <c r="B484">
        <f>IF(INPUT!B484="","",INPUT!B484)</f>
        <v/>
      </c>
      <c r="C484">
        <f>IF(INPUT!C484="","",INPUT!C484)</f>
        <v/>
      </c>
      <c r="D484">
        <f>IF(INPUT!D484="","",INPUT!D484)</f>
        <v/>
      </c>
      <c r="E484">
        <f>IF(INPUT!E484="","",TEXT(INPUT!E484,"0000000000"))</f>
        <v/>
      </c>
      <c r="F484">
        <f>IF(E484="","",IF(COUNTIF(INDIRECT("PPI_"&amp;CONFIG!$B$4&amp;"!$A:$A"),VALUE(E484))&gt;0,"IN PPI","NOT IN PPI"))</f>
        <v/>
      </c>
      <c r="G484">
        <f>IF(F484="","","-")</f>
        <v/>
      </c>
      <c r="H484">
        <f>IF(INPUT!F484="","",INPUT!F484)</f>
        <v/>
      </c>
      <c r="I484">
        <f>IF(F484="","","N/A")</f>
        <v/>
      </c>
    </row>
    <row r="485" ht="15" customHeight="1">
      <c r="A485">
        <f>IF(INPUT!A485="","",INPUT!A485)</f>
        <v/>
      </c>
      <c r="B485">
        <f>IF(INPUT!B485="","",INPUT!B485)</f>
        <v/>
      </c>
      <c r="C485">
        <f>IF(INPUT!C485="","",INPUT!C485)</f>
        <v/>
      </c>
      <c r="D485">
        <f>IF(INPUT!D485="","",INPUT!D485)</f>
        <v/>
      </c>
      <c r="E485">
        <f>IF(INPUT!E485="","",TEXT(INPUT!E485,"0000000000"))</f>
        <v/>
      </c>
      <c r="F485">
        <f>IF(E485="","",IF(COUNTIF(INDIRECT("PPI_"&amp;CONFIG!$B$4&amp;"!$A:$A"),VALUE(E485))&gt;0,"IN PPI","NOT IN PPI"))</f>
        <v/>
      </c>
      <c r="G485">
        <f>IF(F485="","","-")</f>
        <v/>
      </c>
      <c r="H485">
        <f>IF(INPUT!F485="","",INPUT!F485)</f>
        <v/>
      </c>
      <c r="I485">
        <f>IF(F485="","","N/A")</f>
        <v/>
      </c>
    </row>
    <row r="486" ht="15" customHeight="1">
      <c r="A486">
        <f>IF(INPUT!A486="","",INPUT!A486)</f>
        <v/>
      </c>
      <c r="B486">
        <f>IF(INPUT!B486="","",INPUT!B486)</f>
        <v/>
      </c>
      <c r="C486">
        <f>IF(INPUT!C486="","",INPUT!C486)</f>
        <v/>
      </c>
      <c r="D486">
        <f>IF(INPUT!D486="","",INPUT!D486)</f>
        <v/>
      </c>
      <c r="E486">
        <f>IF(INPUT!E486="","",TEXT(INPUT!E486,"0000000000"))</f>
        <v/>
      </c>
      <c r="F486">
        <f>IF(E486="","",IF(COUNTIF(INDIRECT("PPI_"&amp;CONFIG!$B$4&amp;"!$A:$A"),VALUE(E486))&gt;0,"IN PPI","NOT IN PPI"))</f>
        <v/>
      </c>
      <c r="G486">
        <f>IF(F486="","","-")</f>
        <v/>
      </c>
      <c r="H486">
        <f>IF(INPUT!F486="","",INPUT!F486)</f>
        <v/>
      </c>
      <c r="I486">
        <f>IF(F486="","","N/A")</f>
        <v/>
      </c>
    </row>
    <row r="487" ht="15" customHeight="1">
      <c r="A487">
        <f>IF(INPUT!A487="","",INPUT!A487)</f>
        <v/>
      </c>
      <c r="B487">
        <f>IF(INPUT!B487="","",INPUT!B487)</f>
        <v/>
      </c>
      <c r="C487">
        <f>IF(INPUT!C487="","",INPUT!C487)</f>
        <v/>
      </c>
      <c r="D487">
        <f>IF(INPUT!D487="","",INPUT!D487)</f>
        <v/>
      </c>
      <c r="E487">
        <f>IF(INPUT!E487="","",TEXT(INPUT!E487,"0000000000"))</f>
        <v/>
      </c>
      <c r="F487">
        <f>IF(E487="","",IF(COUNTIF(INDIRECT("PPI_"&amp;CONFIG!$B$4&amp;"!$A:$A"),VALUE(E487))&gt;0,"IN PPI","NOT IN PPI"))</f>
        <v/>
      </c>
      <c r="G487">
        <f>IF(F487="","","-")</f>
        <v/>
      </c>
      <c r="H487">
        <f>IF(INPUT!F487="","",INPUT!F487)</f>
        <v/>
      </c>
      <c r="I487">
        <f>IF(F487="","","N/A")</f>
        <v/>
      </c>
    </row>
    <row r="488" ht="15" customHeight="1">
      <c r="A488">
        <f>IF(INPUT!A488="","",INPUT!A488)</f>
        <v/>
      </c>
      <c r="B488">
        <f>IF(INPUT!B488="","",INPUT!B488)</f>
        <v/>
      </c>
      <c r="C488">
        <f>IF(INPUT!C488="","",INPUT!C488)</f>
        <v/>
      </c>
      <c r="D488">
        <f>IF(INPUT!D488="","",INPUT!D488)</f>
        <v/>
      </c>
      <c r="E488">
        <f>IF(INPUT!E488="","",TEXT(INPUT!E488,"0000000000"))</f>
        <v/>
      </c>
      <c r="F488">
        <f>IF(E488="","",IF(COUNTIF(INDIRECT("PPI_"&amp;CONFIG!$B$4&amp;"!$A:$A"),VALUE(E488))&gt;0,"IN PPI","NOT IN PPI"))</f>
        <v/>
      </c>
      <c r="G488">
        <f>IF(F488="","","-")</f>
        <v/>
      </c>
      <c r="H488">
        <f>IF(INPUT!F488="","",INPUT!F488)</f>
        <v/>
      </c>
      <c r="I488">
        <f>IF(F488="","","N/A")</f>
        <v/>
      </c>
    </row>
    <row r="489" ht="15" customHeight="1">
      <c r="A489">
        <f>IF(INPUT!A489="","",INPUT!A489)</f>
        <v/>
      </c>
      <c r="B489">
        <f>IF(INPUT!B489="","",INPUT!B489)</f>
        <v/>
      </c>
      <c r="C489">
        <f>IF(INPUT!C489="","",INPUT!C489)</f>
        <v/>
      </c>
      <c r="D489">
        <f>IF(INPUT!D489="","",INPUT!D489)</f>
        <v/>
      </c>
      <c r="E489">
        <f>IF(INPUT!E489="","",TEXT(INPUT!E489,"0000000000"))</f>
        <v/>
      </c>
      <c r="F489">
        <f>IF(E489="","",IF(COUNTIF(INDIRECT("PPI_"&amp;CONFIG!$B$4&amp;"!$A:$A"),VALUE(E489))&gt;0,"IN PPI","NOT IN PPI"))</f>
        <v/>
      </c>
      <c r="G489">
        <f>IF(F489="","","-")</f>
        <v/>
      </c>
      <c r="H489">
        <f>IF(INPUT!F489="","",INPUT!F489)</f>
        <v/>
      </c>
      <c r="I489">
        <f>IF(F489="","","N/A")</f>
        <v/>
      </c>
    </row>
    <row r="490" ht="15" customHeight="1">
      <c r="A490">
        <f>IF(INPUT!A490="","",INPUT!A490)</f>
        <v/>
      </c>
      <c r="B490">
        <f>IF(INPUT!B490="","",INPUT!B490)</f>
        <v/>
      </c>
      <c r="C490">
        <f>IF(INPUT!C490="","",INPUT!C490)</f>
        <v/>
      </c>
      <c r="D490">
        <f>IF(INPUT!D490="","",INPUT!D490)</f>
        <v/>
      </c>
      <c r="E490">
        <f>IF(INPUT!E490="","",TEXT(INPUT!E490,"0000000000"))</f>
        <v/>
      </c>
      <c r="F490">
        <f>IF(E490="","",IF(COUNTIF(INDIRECT("PPI_"&amp;CONFIG!$B$4&amp;"!$A:$A"),VALUE(E490))&gt;0,"IN PPI","NOT IN PPI"))</f>
        <v/>
      </c>
      <c r="G490">
        <f>IF(F490="","","-")</f>
        <v/>
      </c>
      <c r="H490">
        <f>IF(INPUT!F490="","",INPUT!F490)</f>
        <v/>
      </c>
      <c r="I490">
        <f>IF(F490="","","N/A")</f>
        <v/>
      </c>
    </row>
    <row r="491" ht="15" customHeight="1">
      <c r="A491">
        <f>IF(INPUT!A491="","",INPUT!A491)</f>
        <v/>
      </c>
      <c r="B491">
        <f>IF(INPUT!B491="","",INPUT!B491)</f>
        <v/>
      </c>
      <c r="C491">
        <f>IF(INPUT!C491="","",INPUT!C491)</f>
        <v/>
      </c>
      <c r="D491">
        <f>IF(INPUT!D491="","",INPUT!D491)</f>
        <v/>
      </c>
      <c r="E491">
        <f>IF(INPUT!E491="","",TEXT(INPUT!E491,"0000000000"))</f>
        <v/>
      </c>
      <c r="F491">
        <f>IF(E491="","",IF(COUNTIF(INDIRECT("PPI_"&amp;CONFIG!$B$4&amp;"!$A:$A"),VALUE(E491))&gt;0,"IN PPI","NOT IN PPI"))</f>
        <v/>
      </c>
      <c r="G491">
        <f>IF(F491="","","-")</f>
        <v/>
      </c>
      <c r="H491">
        <f>IF(INPUT!F491="","",INPUT!F491)</f>
        <v/>
      </c>
      <c r="I491">
        <f>IF(F491="","","N/A")</f>
        <v/>
      </c>
    </row>
    <row r="492" ht="15" customHeight="1">
      <c r="A492">
        <f>IF(INPUT!A492="","",INPUT!A492)</f>
        <v/>
      </c>
      <c r="B492">
        <f>IF(INPUT!B492="","",INPUT!B492)</f>
        <v/>
      </c>
      <c r="C492">
        <f>IF(INPUT!C492="","",INPUT!C492)</f>
        <v/>
      </c>
      <c r="D492">
        <f>IF(INPUT!D492="","",INPUT!D492)</f>
        <v/>
      </c>
      <c r="E492">
        <f>IF(INPUT!E492="","",TEXT(INPUT!E492,"0000000000"))</f>
        <v/>
      </c>
      <c r="F492">
        <f>IF(E492="","",IF(COUNTIF(INDIRECT("PPI_"&amp;CONFIG!$B$4&amp;"!$A:$A"),VALUE(E492))&gt;0,"IN PPI","NOT IN PPI"))</f>
        <v/>
      </c>
      <c r="G492">
        <f>IF(F492="","","-")</f>
        <v/>
      </c>
      <c r="H492">
        <f>IF(INPUT!F492="","",INPUT!F492)</f>
        <v/>
      </c>
      <c r="I492">
        <f>IF(F492="","","N/A")</f>
        <v/>
      </c>
    </row>
    <row r="493" ht="15" customHeight="1">
      <c r="A493">
        <f>IF(INPUT!A493="","",INPUT!A493)</f>
        <v/>
      </c>
      <c r="B493">
        <f>IF(INPUT!B493="","",INPUT!B493)</f>
        <v/>
      </c>
      <c r="C493">
        <f>IF(INPUT!C493="","",INPUT!C493)</f>
        <v/>
      </c>
      <c r="D493">
        <f>IF(INPUT!D493="","",INPUT!D493)</f>
        <v/>
      </c>
      <c r="E493">
        <f>IF(INPUT!E493="","",TEXT(INPUT!E493,"0000000000"))</f>
        <v/>
      </c>
      <c r="F493">
        <f>IF(E493="","",IF(COUNTIF(INDIRECT("PPI_"&amp;CONFIG!$B$4&amp;"!$A:$A"),VALUE(E493))&gt;0,"IN PPI","NOT IN PPI"))</f>
        <v/>
      </c>
      <c r="G493">
        <f>IF(F493="","","-")</f>
        <v/>
      </c>
      <c r="H493">
        <f>IF(INPUT!F493="","",INPUT!F493)</f>
        <v/>
      </c>
      <c r="I493">
        <f>IF(F493="","","N/A")</f>
        <v/>
      </c>
    </row>
    <row r="494" ht="15" customHeight="1">
      <c r="A494">
        <f>IF(INPUT!A494="","",INPUT!A494)</f>
        <v/>
      </c>
      <c r="B494">
        <f>IF(INPUT!B494="","",INPUT!B494)</f>
        <v/>
      </c>
      <c r="C494">
        <f>IF(INPUT!C494="","",INPUT!C494)</f>
        <v/>
      </c>
      <c r="D494">
        <f>IF(INPUT!D494="","",INPUT!D494)</f>
        <v/>
      </c>
      <c r="E494">
        <f>IF(INPUT!E494="","",TEXT(INPUT!E494,"0000000000"))</f>
        <v/>
      </c>
      <c r="F494">
        <f>IF(E494="","",IF(COUNTIF(INDIRECT("PPI_"&amp;CONFIG!$B$4&amp;"!$A:$A"),VALUE(E494))&gt;0,"IN PPI","NOT IN PPI"))</f>
        <v/>
      </c>
      <c r="G494">
        <f>IF(F494="","","-")</f>
        <v/>
      </c>
      <c r="H494">
        <f>IF(INPUT!F494="","",INPUT!F494)</f>
        <v/>
      </c>
      <c r="I494">
        <f>IF(F494="","","N/A")</f>
        <v/>
      </c>
    </row>
    <row r="495" ht="15" customHeight="1">
      <c r="A495">
        <f>IF(INPUT!A495="","",INPUT!A495)</f>
        <v/>
      </c>
      <c r="B495">
        <f>IF(INPUT!B495="","",INPUT!B495)</f>
        <v/>
      </c>
      <c r="C495">
        <f>IF(INPUT!C495="","",INPUT!C495)</f>
        <v/>
      </c>
      <c r="D495">
        <f>IF(INPUT!D495="","",INPUT!D495)</f>
        <v/>
      </c>
      <c r="E495">
        <f>IF(INPUT!E495="","",TEXT(INPUT!E495,"0000000000"))</f>
        <v/>
      </c>
      <c r="F495">
        <f>IF(E495="","",IF(COUNTIF(INDIRECT("PPI_"&amp;CONFIG!$B$4&amp;"!$A:$A"),VALUE(E495))&gt;0,"IN PPI","NOT IN PPI"))</f>
        <v/>
      </c>
      <c r="G495">
        <f>IF(F495="","","-")</f>
        <v/>
      </c>
      <c r="H495">
        <f>IF(INPUT!F495="","",INPUT!F495)</f>
        <v/>
      </c>
      <c r="I495">
        <f>IF(F495="","","N/A")</f>
        <v/>
      </c>
    </row>
    <row r="496" ht="15" customHeight="1">
      <c r="A496">
        <f>IF(INPUT!A496="","",INPUT!A496)</f>
        <v/>
      </c>
      <c r="B496">
        <f>IF(INPUT!B496="","",INPUT!B496)</f>
        <v/>
      </c>
      <c r="C496">
        <f>IF(INPUT!C496="","",INPUT!C496)</f>
        <v/>
      </c>
      <c r="D496">
        <f>IF(INPUT!D496="","",INPUT!D496)</f>
        <v/>
      </c>
      <c r="E496">
        <f>IF(INPUT!E496="","",TEXT(INPUT!E496,"0000000000"))</f>
        <v/>
      </c>
      <c r="F496">
        <f>IF(E496="","",IF(COUNTIF(INDIRECT("PPI_"&amp;CONFIG!$B$4&amp;"!$A:$A"),VALUE(E496))&gt;0,"IN PPI","NOT IN PPI"))</f>
        <v/>
      </c>
      <c r="G496">
        <f>IF(F496="","","-")</f>
        <v/>
      </c>
      <c r="H496">
        <f>IF(INPUT!F496="","",INPUT!F496)</f>
        <v/>
      </c>
      <c r="I496">
        <f>IF(F496="","","N/A")</f>
        <v/>
      </c>
    </row>
    <row r="497" ht="15" customHeight="1">
      <c r="A497">
        <f>IF(INPUT!A497="","",INPUT!A497)</f>
        <v/>
      </c>
      <c r="B497">
        <f>IF(INPUT!B497="","",INPUT!B497)</f>
        <v/>
      </c>
      <c r="C497">
        <f>IF(INPUT!C497="","",INPUT!C497)</f>
        <v/>
      </c>
      <c r="D497">
        <f>IF(INPUT!D497="","",INPUT!D497)</f>
        <v/>
      </c>
      <c r="E497">
        <f>IF(INPUT!E497="","",TEXT(INPUT!E497,"0000000000"))</f>
        <v/>
      </c>
      <c r="F497">
        <f>IF(E497="","",IF(COUNTIF(INDIRECT("PPI_"&amp;CONFIG!$B$4&amp;"!$A:$A"),VALUE(E497))&gt;0,"IN PPI","NOT IN PPI"))</f>
        <v/>
      </c>
      <c r="G497">
        <f>IF(F497="","","-")</f>
        <v/>
      </c>
      <c r="H497">
        <f>IF(INPUT!F497="","",INPUT!F497)</f>
        <v/>
      </c>
      <c r="I497">
        <f>IF(F497="","","N/A")</f>
        <v/>
      </c>
    </row>
    <row r="498" ht="15" customHeight="1">
      <c r="A498">
        <f>IF(INPUT!A498="","",INPUT!A498)</f>
        <v/>
      </c>
      <c r="B498">
        <f>IF(INPUT!B498="","",INPUT!B498)</f>
        <v/>
      </c>
      <c r="C498">
        <f>IF(INPUT!C498="","",INPUT!C498)</f>
        <v/>
      </c>
      <c r="D498">
        <f>IF(INPUT!D498="","",INPUT!D498)</f>
        <v/>
      </c>
      <c r="E498">
        <f>IF(INPUT!E498="","",TEXT(INPUT!E498,"0000000000"))</f>
        <v/>
      </c>
      <c r="F498">
        <f>IF(E498="","",IF(COUNTIF(INDIRECT("PPI_"&amp;CONFIG!$B$4&amp;"!$A:$A"),VALUE(E498))&gt;0,"IN PPI","NOT IN PPI"))</f>
        <v/>
      </c>
      <c r="G498">
        <f>IF(F498="","","-")</f>
        <v/>
      </c>
      <c r="H498">
        <f>IF(INPUT!F498="","",INPUT!F498)</f>
        <v/>
      </c>
      <c r="I498">
        <f>IF(F498="","","N/A")</f>
        <v/>
      </c>
    </row>
    <row r="499" ht="15" customHeight="1">
      <c r="A499">
        <f>IF(INPUT!A499="","",INPUT!A499)</f>
        <v/>
      </c>
      <c r="B499">
        <f>IF(INPUT!B499="","",INPUT!B499)</f>
        <v/>
      </c>
      <c r="C499">
        <f>IF(INPUT!C499="","",INPUT!C499)</f>
        <v/>
      </c>
      <c r="D499">
        <f>IF(INPUT!D499="","",INPUT!D499)</f>
        <v/>
      </c>
      <c r="E499">
        <f>IF(INPUT!E499="","",TEXT(INPUT!E499,"0000000000"))</f>
        <v/>
      </c>
      <c r="F499">
        <f>IF(E499="","",IF(COUNTIF(INDIRECT("PPI_"&amp;CONFIG!$B$4&amp;"!$A:$A"),VALUE(E499))&gt;0,"IN PPI","NOT IN PPI"))</f>
        <v/>
      </c>
      <c r="G499">
        <f>IF(F499="","","-")</f>
        <v/>
      </c>
      <c r="H499">
        <f>IF(INPUT!F499="","",INPUT!F499)</f>
        <v/>
      </c>
      <c r="I499">
        <f>IF(F499="","","N/A")</f>
        <v/>
      </c>
    </row>
    <row r="500" ht="15" customHeight="1">
      <c r="A500">
        <f>IF(INPUT!A500="","",INPUT!A500)</f>
        <v/>
      </c>
      <c r="B500">
        <f>IF(INPUT!B500="","",INPUT!B500)</f>
        <v/>
      </c>
      <c r="C500">
        <f>IF(INPUT!C500="","",INPUT!C500)</f>
        <v/>
      </c>
      <c r="D500">
        <f>IF(INPUT!D500="","",INPUT!D500)</f>
        <v/>
      </c>
      <c r="E500">
        <f>IF(INPUT!E500="","",TEXT(INPUT!E500,"0000000000"))</f>
        <v/>
      </c>
      <c r="F500">
        <f>IF(E500="","",IF(COUNTIF(INDIRECT("PPI_"&amp;CONFIG!$B$4&amp;"!$A:$A"),VALUE(E500))&gt;0,"IN PPI","NOT IN PPI"))</f>
        <v/>
      </c>
      <c r="G500">
        <f>IF(F500="","","-")</f>
        <v/>
      </c>
      <c r="H500">
        <f>IF(INPUT!F500="","",INPUT!F500)</f>
        <v/>
      </c>
      <c r="I500">
        <f>IF(F500="","","N/A")</f>
        <v/>
      </c>
    </row>
    <row r="501" ht="15" customHeight="1">
      <c r="A501">
        <f>IF(INPUT!A501="","",INPUT!A501)</f>
        <v/>
      </c>
      <c r="B501">
        <f>IF(INPUT!B501="","",INPUT!B501)</f>
        <v/>
      </c>
      <c r="C501">
        <f>IF(INPUT!C501="","",INPUT!C501)</f>
        <v/>
      </c>
      <c r="D501">
        <f>IF(INPUT!D501="","",INPUT!D501)</f>
        <v/>
      </c>
      <c r="E501">
        <f>IF(INPUT!E501="","",TEXT(INPUT!E501,"0000000000"))</f>
        <v/>
      </c>
      <c r="F501">
        <f>IF(E501="","",IF(COUNTIF(INDIRECT("PPI_"&amp;CONFIG!$B$4&amp;"!$A:$A"),VALUE(E501))&gt;0,"IN PPI","NOT IN PPI"))</f>
        <v/>
      </c>
      <c r="G501">
        <f>IF(F501="","","-")</f>
        <v/>
      </c>
      <c r="H501">
        <f>IF(INPUT!F501="","",INPUT!F501)</f>
        <v/>
      </c>
      <c r="I501">
        <f>IF(F501="","","N/A")</f>
        <v/>
      </c>
    </row>
    <row r="502" ht="15" customHeight="1">
      <c r="A502">
        <f>IF(INPUT!A502="","",INPUT!A502)</f>
        <v/>
      </c>
      <c r="B502">
        <f>IF(INPUT!B502="","",INPUT!B502)</f>
        <v/>
      </c>
      <c r="C502">
        <f>IF(INPUT!C502="","",INPUT!C502)</f>
        <v/>
      </c>
      <c r="D502">
        <f>IF(INPUT!D502="","",INPUT!D502)</f>
        <v/>
      </c>
      <c r="E502">
        <f>IF(INPUT!E502="","",TEXT(INPUT!E502,"0000000000"))</f>
        <v/>
      </c>
      <c r="F502">
        <f>IF(E502="","",IF(COUNTIF(INDIRECT("PPI_"&amp;CONFIG!$B$4&amp;"!$A:$A"),VALUE(E502))&gt;0,"IN PPI","NOT IN PPI"))</f>
        <v/>
      </c>
      <c r="G502">
        <f>IF(F502="","","-")</f>
        <v/>
      </c>
      <c r="H502">
        <f>IF(INPUT!F502="","",INPUT!F502)</f>
        <v/>
      </c>
      <c r="I502">
        <f>IF(F502="","","N/A")</f>
        <v/>
      </c>
    </row>
  </sheetData>
  <autoFilter ref="A2:I302"/>
  <mergeCells count="1">
    <mergeCell ref="A1:I1"/>
  </mergeCells>
  <conditionalFormatting sqref="F3:F302">
    <cfRule type="cellIs" priority="2" operator="equal" dxfId="1">
      <formula>"IN PPI"</formula>
    </cfRule>
    <cfRule type="cellIs" priority="3" operator="equal" dxfId="0">
      <formula>"NOT IN PPI"</formula>
    </cfRule>
  </conditionalFormatting>
  <conditionalFormatting sqref="I3:I302">
    <cfRule type="cellIs" priority="4" operator="equal" dxfId="1">
      <formula>"WITHIN LIMIT"</formula>
    </cfRule>
    <cfRule type="cellIs" priority="5" operator="equal" dxfId="0">
      <formula>"EXCEEDED"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5"/>
  <sheetViews>
    <sheetView zoomScaleNormal="100" workbookViewId="0">
      <pane ySplit="2" topLeftCell="A3" activePane="bottomLeft" state="frozen"/>
      <selection pane="bottomLeft" activeCell="H124" sqref="H124"/>
    </sheetView>
  </sheetViews>
  <sheetFormatPr baseColWidth="8" defaultColWidth="11.5703125" defaultRowHeight="15"/>
  <cols>
    <col width="12.85546875" bestFit="1" customWidth="1" min="1" max="1"/>
    <col width="19.7109375" bestFit="1" customWidth="1" min="2" max="2"/>
    <col width="39.140625" bestFit="1" customWidth="1" min="3" max="3"/>
    <col width="11" bestFit="1" customWidth="1" min="4" max="4"/>
    <col width="22.140625" bestFit="1" customWidth="1" min="5" max="5"/>
    <col width="16.85546875" bestFit="1" customWidth="1" min="6" max="6"/>
    <col width="27" bestFit="1" customWidth="1" min="7" max="7"/>
    <col width="32.5703125" bestFit="1" customWidth="1" min="8" max="8"/>
  </cols>
  <sheetData>
    <row r="1" ht="21.75" customHeight="1">
      <c r="A1" s="33" t="inlineStr">
        <is>
          <t>SECTION A — Lignes NON CONFORMES PPI / PPI Non-Compliant Lines</t>
        </is>
      </c>
    </row>
    <row r="2" ht="30" customHeight="1">
      <c r="A2" s="20" t="inlineStr">
        <is>
          <t>Ligne / Line N°</t>
        </is>
      </c>
      <c r="B2" s="20" t="inlineStr">
        <is>
          <t>Code Article / Item</t>
        </is>
      </c>
      <c r="C2" s="20" t="inlineStr">
        <is>
          <t>Désignation</t>
        </is>
      </c>
      <c r="D2" s="20" t="inlineStr">
        <is>
          <t>Class</t>
        </is>
      </c>
      <c r="E2" s="20" t="inlineStr">
        <is>
          <t>Code HS Facture / Invoice HS</t>
        </is>
      </c>
      <c r="F2" s="20" t="inlineStr">
        <is>
          <t>Statut PPI / PPI Status</t>
        </is>
      </c>
      <c r="G2" s="20" t="inlineStr">
        <is>
          <t>Code HS Historique / DB HS (Suggestion)</t>
        </is>
      </c>
      <c r="H2" s="20" t="inlineStr">
        <is>
          <t>Action Requise / Required Action</t>
        </is>
      </c>
    </row>
    <row r="3" ht="27.75" customHeight="1">
      <c r="A3" s="21">
        <f t="array" ref="A3:H115">_xlfn._xlws.FILTER(CHOOSE({1,2,3,4,5,6,7,8},INPUT!A3:A502,INPUT!B3:B502,INPUT!C3:C502,INPUT!D3:D502,INPUT!E3:E502,HS_CHECK!G3:G502,HS_CHECK!H3:H502,PPI_CHECK!F3:F502),(PPI_CHECK!F3:F502="NOT IN PPI")+(HS_CHECK!H3:H502="MISMATCH")+(HS_CHECK!H3:H502="NEW ITEM"),"All lines compliant")</f>
        <v/>
      </c>
      <c r="B3">
        <f/>
        <v/>
      </c>
      <c r="C3">
        <f/>
        <v/>
      </c>
      <c r="D3">
        <f/>
        <v/>
      </c>
      <c r="E3">
        <f/>
        <v/>
      </c>
      <c r="F3">
        <f/>
        <v/>
      </c>
      <c r="G3">
        <f/>
        <v/>
      </c>
      <c r="H3">
        <f/>
        <v/>
      </c>
    </row>
    <row r="4" ht="19.5" customHeight="1">
      <c r="A4" s="22">
        <f/>
        <v/>
      </c>
      <c r="B4">
        <f/>
        <v/>
      </c>
      <c r="C4">
        <f/>
        <v/>
      </c>
      <c r="D4">
        <f/>
        <v/>
      </c>
      <c r="E4">
        <f/>
        <v/>
      </c>
      <c r="F4">
        <f/>
        <v/>
      </c>
      <c r="G4">
        <f/>
        <v/>
      </c>
      <c r="H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>
        <f/>
        <v/>
      </c>
    </row>
    <row r="34">
      <c r="A34">
        <f/>
        <v/>
      </c>
      <c r="B34">
        <f/>
        <v/>
      </c>
      <c r="C34">
        <f/>
        <v/>
      </c>
      <c r="D34">
        <f/>
        <v/>
      </c>
      <c r="E34">
        <f/>
        <v/>
      </c>
      <c r="F34">
        <f/>
        <v/>
      </c>
      <c r="G34">
        <f/>
        <v/>
      </c>
      <c r="H34">
        <f/>
        <v/>
      </c>
    </row>
    <row r="35">
      <c r="A35">
        <f/>
        <v/>
      </c>
      <c r="B35">
        <f/>
        <v/>
      </c>
      <c r="C35">
        <f/>
        <v/>
      </c>
      <c r="D35">
        <f/>
        <v/>
      </c>
      <c r="E35">
        <f/>
        <v/>
      </c>
      <c r="F35">
        <f/>
        <v/>
      </c>
      <c r="G35">
        <f/>
        <v/>
      </c>
      <c r="H35">
        <f/>
        <v/>
      </c>
    </row>
    <row r="36">
      <c r="A36">
        <f/>
        <v/>
      </c>
      <c r="B36">
        <f/>
        <v/>
      </c>
      <c r="C36">
        <f/>
        <v/>
      </c>
      <c r="D36">
        <f/>
        <v/>
      </c>
      <c r="E36">
        <f/>
        <v/>
      </c>
      <c r="F36">
        <f/>
        <v/>
      </c>
      <c r="G36">
        <f/>
        <v/>
      </c>
      <c r="H36">
        <f/>
        <v/>
      </c>
    </row>
    <row r="37">
      <c r="A37">
        <f/>
        <v/>
      </c>
      <c r="B37">
        <f/>
        <v/>
      </c>
      <c r="C37">
        <f/>
        <v/>
      </c>
      <c r="D37">
        <f/>
        <v/>
      </c>
      <c r="E37">
        <f/>
        <v/>
      </c>
      <c r="F37">
        <f/>
        <v/>
      </c>
      <c r="G37">
        <f/>
        <v/>
      </c>
      <c r="H37">
        <f/>
        <v/>
      </c>
    </row>
    <row r="38">
      <c r="A38">
        <f/>
        <v/>
      </c>
      <c r="B38">
        <f/>
        <v/>
      </c>
      <c r="C38">
        <f/>
        <v/>
      </c>
      <c r="D38">
        <f/>
        <v/>
      </c>
      <c r="E38">
        <f/>
        <v/>
      </c>
      <c r="F38">
        <f/>
        <v/>
      </c>
      <c r="G38">
        <f/>
        <v/>
      </c>
      <c r="H38">
        <f/>
        <v/>
      </c>
    </row>
    <row r="39">
      <c r="A39">
        <f/>
        <v/>
      </c>
      <c r="B39">
        <f/>
        <v/>
      </c>
      <c r="C39">
        <f/>
        <v/>
      </c>
      <c r="D39">
        <f/>
        <v/>
      </c>
      <c r="E39">
        <f/>
        <v/>
      </c>
      <c r="F39">
        <f/>
        <v/>
      </c>
      <c r="G39">
        <f/>
        <v/>
      </c>
      <c r="H39">
        <f/>
        <v/>
      </c>
    </row>
    <row r="40">
      <c r="A40">
        <f/>
        <v/>
      </c>
      <c r="B40">
        <f/>
        <v/>
      </c>
      <c r="C40">
        <f/>
        <v/>
      </c>
      <c r="D40">
        <f/>
        <v/>
      </c>
      <c r="E40">
        <f/>
        <v/>
      </c>
      <c r="F40">
        <f/>
        <v/>
      </c>
      <c r="G40">
        <f/>
        <v/>
      </c>
      <c r="H40">
        <f/>
        <v/>
      </c>
    </row>
    <row r="41">
      <c r="A41">
        <f/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>
        <f/>
        <v/>
      </c>
    </row>
    <row r="42">
      <c r="A42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>
        <f/>
        <v/>
      </c>
    </row>
    <row r="43">
      <c r="A43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>
        <f/>
        <v/>
      </c>
    </row>
    <row r="44">
      <c r="A44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>
        <f/>
        <v/>
      </c>
    </row>
    <row r="45">
      <c r="A45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>
        <f/>
        <v/>
      </c>
    </row>
    <row r="46">
      <c r="A46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>
        <f/>
        <v/>
      </c>
    </row>
    <row r="47">
      <c r="A47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>
        <f/>
        <v/>
      </c>
    </row>
    <row r="48">
      <c r="A48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>
        <f/>
        <v/>
      </c>
    </row>
    <row r="49">
      <c r="A49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>
        <f/>
        <v/>
      </c>
    </row>
    <row r="50">
      <c r="A5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>
        <f/>
        <v/>
      </c>
    </row>
    <row r="51">
      <c r="A51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>
        <f/>
        <v/>
      </c>
    </row>
    <row r="52">
      <c r="A52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>
        <f/>
        <v/>
      </c>
    </row>
    <row r="53">
      <c r="A53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>
        <f/>
        <v/>
      </c>
    </row>
    <row r="54">
      <c r="A54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>
        <f/>
        <v/>
      </c>
    </row>
    <row r="70">
      <c r="A70">
        <f/>
        <v/>
      </c>
      <c r="B70">
        <f/>
        <v/>
      </c>
      <c r="C70">
        <f/>
        <v/>
      </c>
      <c r="D70">
        <f/>
        <v/>
      </c>
      <c r="E70">
        <f/>
        <v/>
      </c>
      <c r="F70">
        <f/>
        <v/>
      </c>
      <c r="G70">
        <f/>
        <v/>
      </c>
      <c r="H70">
        <f/>
        <v/>
      </c>
    </row>
    <row r="71">
      <c r="A71">
        <f/>
        <v/>
      </c>
      <c r="B71">
        <f/>
        <v/>
      </c>
      <c r="C71">
        <f/>
        <v/>
      </c>
      <c r="D71">
        <f/>
        <v/>
      </c>
      <c r="E71">
        <f/>
        <v/>
      </c>
      <c r="F71">
        <f/>
        <v/>
      </c>
      <c r="G71">
        <f/>
        <v/>
      </c>
      <c r="H71">
        <f/>
        <v/>
      </c>
    </row>
    <row r="72">
      <c r="A72">
        <f/>
        <v/>
      </c>
      <c r="B72">
        <f/>
        <v/>
      </c>
      <c r="C72">
        <f/>
        <v/>
      </c>
      <c r="D72">
        <f/>
        <v/>
      </c>
      <c r="E72">
        <f/>
        <v/>
      </c>
      <c r="F72">
        <f/>
        <v/>
      </c>
      <c r="G72">
        <f/>
        <v/>
      </c>
      <c r="H72">
        <f/>
        <v/>
      </c>
    </row>
    <row r="73">
      <c r="A73">
        <f/>
        <v/>
      </c>
      <c r="B73">
        <f/>
        <v/>
      </c>
      <c r="C73">
        <f/>
        <v/>
      </c>
      <c r="D73">
        <f/>
        <v/>
      </c>
      <c r="E73">
        <f/>
        <v/>
      </c>
      <c r="F73">
        <f/>
        <v/>
      </c>
      <c r="G73">
        <f/>
        <v/>
      </c>
      <c r="H73">
        <f/>
        <v/>
      </c>
    </row>
    <row r="74">
      <c r="A74">
        <f/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>
        <f/>
        <v/>
      </c>
    </row>
    <row r="112">
      <c r="A112">
        <f/>
        <v/>
      </c>
      <c r="B112">
        <f/>
        <v/>
      </c>
      <c r="C112">
        <f/>
        <v/>
      </c>
      <c r="D112">
        <f/>
        <v/>
      </c>
      <c r="E112">
        <f/>
        <v/>
      </c>
      <c r="F112">
        <f/>
        <v/>
      </c>
      <c r="G112">
        <f/>
        <v/>
      </c>
      <c r="H112">
        <f/>
        <v/>
      </c>
    </row>
    <row r="113">
      <c r="A113">
        <f/>
        <v/>
      </c>
      <c r="B113">
        <f/>
        <v/>
      </c>
      <c r="C113">
        <f/>
        <v/>
      </c>
      <c r="D113">
        <f/>
        <v/>
      </c>
      <c r="E113">
        <f/>
        <v/>
      </c>
      <c r="F113">
        <f/>
        <v/>
      </c>
      <c r="G113">
        <f/>
        <v/>
      </c>
      <c r="H113">
        <f/>
        <v/>
      </c>
    </row>
    <row r="114">
      <c r="A114">
        <f/>
        <v/>
      </c>
      <c r="B114">
        <f/>
        <v/>
      </c>
      <c r="C114">
        <f/>
        <v/>
      </c>
      <c r="D114">
        <f/>
        <v/>
      </c>
      <c r="E114">
        <f/>
        <v/>
      </c>
      <c r="F114">
        <f/>
        <v/>
      </c>
      <c r="G114">
        <f/>
        <v/>
      </c>
      <c r="H114">
        <f/>
        <v/>
      </c>
    </row>
    <row r="115">
      <c r="A115">
        <f/>
        <v/>
      </c>
      <c r="B115">
        <f/>
        <v/>
      </c>
      <c r="C115">
        <f/>
        <v/>
      </c>
      <c r="D115">
        <f/>
        <v/>
      </c>
      <c r="E115">
        <f/>
        <v/>
      </c>
      <c r="F115">
        <f/>
        <v/>
      </c>
      <c r="G115">
        <f/>
        <v/>
      </c>
      <c r="H115">
        <f/>
        <v/>
      </c>
    </row>
  </sheetData>
  <autoFilter ref="A2:H115"/>
  <mergeCells count="1">
    <mergeCell ref="A1:H1"/>
  </mergeCells>
  <pageMargins left="0.7875" right="0.7875" top="1.05277777777778" bottom="1.05277777777778" header="0.7875" footer="0.7875"/>
  <pageSetup orientation="portrait" paperSize="9" horizontalDpi="300" verticalDpi="300"/>
  <headerFooter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2E75B6"/>
    <outlinePr summaryBelow="1" summaryRight="1"/>
    <pageSetUpPr/>
  </sheetPr>
  <dimension ref="A1:B78"/>
  <sheetViews>
    <sheetView zoomScaleNormal="100" workbookViewId="0">
      <pane ySplit="2" topLeftCell="A46" activePane="bottomLeft" state="frozen"/>
      <selection pane="bottomLeft" activeCell="A3" sqref="A3:A78"/>
    </sheetView>
  </sheetViews>
  <sheetFormatPr baseColWidth="8" defaultColWidth="8.7109375" defaultRowHeight="15"/>
  <cols>
    <col width="11" bestFit="1" customWidth="1" min="1" max="1"/>
    <col width="151.140625" bestFit="1" customWidth="1" min="2" max="2"/>
  </cols>
  <sheetData>
    <row r="1">
      <c r="A1" s="32" t="inlineStr">
        <is>
          <t>PPI — Citi/CVC (Spare Parts / SVC)</t>
        </is>
      </c>
    </row>
    <row r="2">
      <c r="A2" s="30" t="inlineStr">
        <is>
          <t>HS Code</t>
        </is>
      </c>
      <c r="B2" s="30" t="inlineStr">
        <is>
          <t>Description</t>
        </is>
      </c>
    </row>
    <row r="3">
      <c r="A3" t="n">
        <v>3917331000</v>
      </c>
      <c r="B3" t="inlineStr">
        <is>
          <t>Des types utilises pour acheminer, conduire ou distribuer des gaz ou des liquides</t>
        </is>
      </c>
    </row>
    <row r="4">
      <c r="A4" t="n">
        <v>3919909100</v>
      </c>
      <c r="B4" t="inlineStr">
        <is>
          <t>Revetus d'impressions ou d'illustrations</t>
        </is>
      </c>
    </row>
    <row r="5">
      <c r="A5" t="n">
        <v>3925308000</v>
      </c>
      <c r="B5" t="inlineStr">
        <is>
          <t>Volets, stores (y compris les stores venitiens) et articles similaires, et leurs parties</t>
        </is>
      </c>
    </row>
    <row r="6">
      <c r="A6" t="n">
        <v>3926909990</v>
      </c>
      <c r="B6" t="inlineStr">
        <is>
          <t>Autres ouvrages en matieres plastiques</t>
        </is>
      </c>
    </row>
    <row r="7">
      <c r="A7" t="n">
        <v>4016939000</v>
      </c>
      <c r="B7" t="inlineStr">
        <is>
          <t>Autres joints en caoutchouc</t>
        </is>
      </c>
    </row>
    <row r="8">
      <c r="A8" t="n">
        <v>4016992200</v>
      </c>
      <c r="B8" t="inlineStr">
        <is>
          <t>Pour machines et appareils de la Section XVI ou instruments et appareils du Chapitre 90</t>
        </is>
      </c>
    </row>
    <row r="9">
      <c r="A9" t="n">
        <v>7020009900</v>
      </c>
      <c r="B9" t="inlineStr">
        <is>
          <t>Autres ouvrages en verre</t>
        </is>
      </c>
    </row>
    <row r="10">
      <c r="A10" t="n">
        <v>7318152900</v>
      </c>
      <c r="B10" t="inlineStr">
        <is>
          <t>Vis et boulons avec tete en fonte, fer ou aciers non inoxydables</t>
        </is>
      </c>
    </row>
    <row r="11">
      <c r="A11" t="n">
        <v>7318161000</v>
      </c>
      <c r="B11" t="inlineStr">
        <is>
          <t>En aciers inoxydables</t>
        </is>
      </c>
    </row>
    <row r="12">
      <c r="A12" t="n">
        <v>7318290000</v>
      </c>
      <c r="B12" t="inlineStr">
        <is>
          <t>Autres articles non filetes</t>
        </is>
      </c>
    </row>
    <row r="13">
      <c r="A13" t="n">
        <v>7320209000</v>
      </c>
      <c r="B13" t="inlineStr">
        <is>
          <t>Ressorts en helice</t>
        </is>
      </c>
    </row>
    <row r="14">
      <c r="A14" t="n">
        <v>7320909000</v>
      </c>
      <c r="B14" t="inlineStr">
        <is>
          <t>Autres</t>
        </is>
      </c>
    </row>
    <row r="15">
      <c r="A15" t="n">
        <v>7411292000</v>
      </c>
      <c r="B15" t="inlineStr">
        <is>
          <t>Pour refrigeration ou climatisation</t>
        </is>
      </c>
    </row>
    <row r="16">
      <c r="A16" t="n">
        <v>8302109000</v>
      </c>
      <c r="B16" t="inlineStr">
        <is>
          <t>Charnieres pour autres usages</t>
        </is>
      </c>
    </row>
    <row r="17">
      <c r="A17" t="n">
        <v>8302499000</v>
      </c>
      <c r="B17" t="inlineStr">
        <is>
          <t>Autres garnitures, ferrures et articles similaires</t>
        </is>
      </c>
    </row>
    <row r="18">
      <c r="A18" t="n">
        <v>8413819000</v>
      </c>
      <c r="B18" t="inlineStr">
        <is>
          <t>Autres pompes</t>
        </is>
      </c>
    </row>
    <row r="19">
      <c r="A19" t="n">
        <v>8413910000</v>
      </c>
      <c r="B19" t="inlineStr">
        <is>
          <t>De pompes</t>
        </is>
      </c>
    </row>
    <row r="20">
      <c r="A20" t="n">
        <v>8414302100</v>
      </c>
      <c r="B20" t="inlineStr">
        <is>
          <t>Compresseurs des types utilises dans les equipements frigorifiques</t>
        </is>
      </c>
    </row>
    <row r="21">
      <c r="A21" t="n">
        <v>8414599900</v>
      </c>
      <c r="B21" t="inlineStr">
        <is>
          <t>Autres ventilateurs</t>
        </is>
      </c>
    </row>
    <row r="22">
      <c r="A22" t="n">
        <v>8414803900</v>
      </c>
      <c r="B22" t="inlineStr">
        <is>
          <t>Autres compresseurs de gaz</t>
        </is>
      </c>
    </row>
    <row r="23">
      <c r="A23" t="n">
        <v>8415901300</v>
      </c>
      <c r="B23" t="inlineStr">
        <is>
          <t>Assemblages electroniques et cartes electroniques pour climatiseur monobloc ou de type( split-system )</t>
        </is>
      </c>
    </row>
    <row r="24">
      <c r="A24" t="n">
        <v>8415901900</v>
      </c>
      <c r="B24" t="inlineStr">
        <is>
          <t>Autres parties pour climatiseur monobloc ou de type( split-system )</t>
        </is>
      </c>
    </row>
    <row r="25">
      <c r="A25" t="n">
        <v>8415909000</v>
      </c>
      <c r="B25" t="inlineStr">
        <is>
          <t>Parties pour autres appareils de conditionnement de l'air autres que ceux con?us pour etre fixes sur une fenetre, un mur, un plafond ou sur le sol</t>
        </is>
      </c>
    </row>
    <row r="26">
      <c r="A26" t="n">
        <v>8418999200</v>
      </c>
      <c r="B26" t="inlineStr">
        <is>
          <t>Evaporateurs et condenseurs pour appareils de type menager</t>
        </is>
      </c>
    </row>
    <row r="27">
      <c r="A27" t="n">
        <v>8418999300</v>
      </c>
      <c r="B27" t="inlineStr">
        <is>
          <t>Portes et tiroirs exterieurs pour refrigerateurs, congelateurs ou conservateurs</t>
        </is>
      </c>
    </row>
    <row r="28">
      <c r="A28" t="n">
        <v>8418999900</v>
      </c>
      <c r="B28" t="inlineStr">
        <is>
          <t>Autres parties de refrigerateurs, congelateurs ou conservateurs</t>
        </is>
      </c>
    </row>
    <row r="29">
      <c r="A29" t="n">
        <v>8421219000</v>
      </c>
      <c r="B29" t="inlineStr">
        <is>
          <t>Autres, pour la filtration ou l'epuration des eaux</t>
        </is>
      </c>
    </row>
    <row r="30">
      <c r="A30" t="n">
        <v>8421391300</v>
      </c>
      <c r="B30" t="inlineStr">
        <is>
          <t>Filtres a haute efficacite (filtres( HEPA )) pour systemed'epuration de l?air ayant un rendement de plus de 99,5% (particules de 0,3 microns)</t>
        </is>
      </c>
    </row>
    <row r="31">
      <c r="A31" t="n">
        <v>8421391500</v>
      </c>
      <c r="B31" t="inlineStr">
        <is>
          <t>Filtres industriels pour frigorigene</t>
        </is>
      </c>
    </row>
    <row r="32">
      <c r="A32" t="n">
        <v>8422901000</v>
      </c>
      <c r="B32" t="inlineStr">
        <is>
          <t>Parties : De machines a laver la vaisselle</t>
        </is>
      </c>
    </row>
    <row r="33">
      <c r="A33" t="n">
        <v>8450901000</v>
      </c>
      <c r="B33" t="inlineStr">
        <is>
          <t>De machines d'une capacite unitaire exprimee en poids de linge sec n'excedant pas 10 kg</t>
        </is>
      </c>
    </row>
    <row r="34">
      <c r="A34" t="n">
        <v>8450909000</v>
      </c>
      <c r="B34" t="inlineStr">
        <is>
          <t>Autres parties pour machines a laver d'une capacite unitaire excedant 10 kg</t>
        </is>
      </c>
    </row>
    <row r="35">
      <c r="A35" t="n">
        <v>8450909100</v>
      </c>
      <c r="B35" t="inlineStr">
        <is>
          <t>Assemblages electroniques</t>
        </is>
      </c>
    </row>
    <row r="36">
      <c r="A36" t="n">
        <v>8450909200</v>
      </c>
      <c r="B36" t="inlineStr">
        <is>
          <t>Tambours et cuves</t>
        </is>
      </c>
    </row>
    <row r="37">
      <c r="A37" t="n">
        <v>8450909300</v>
      </c>
      <c r="B37" t="inlineStr">
        <is>
          <t>Meubles, carcasses, hublots et portes</t>
        </is>
      </c>
    </row>
    <row r="38">
      <c r="A38" t="n">
        <v>8450909900</v>
      </c>
      <c r="B38" t="inlineStr">
        <is>
          <t>Autres parties pour machines a laver d'une capacite unitaire excedant 10 kg</t>
        </is>
      </c>
    </row>
    <row r="39">
      <c r="A39" t="n">
        <v>8481809900</v>
      </c>
      <c r="B39" t="inlineStr">
        <is>
          <t>Autres articles de robinetterie et organes similaires</t>
        </is>
      </c>
    </row>
    <row r="40">
      <c r="A40" t="n">
        <v>8482109000</v>
      </c>
      <c r="B40" t="inlineStr">
        <is>
          <t>Autres roulements a billes</t>
        </is>
      </c>
    </row>
    <row r="41">
      <c r="A41" t="n">
        <v>8483401900</v>
      </c>
      <c r="B41" t="inlineStr">
        <is>
          <t>Autres engrenages Autres engrenages</t>
        </is>
      </c>
    </row>
    <row r="42">
      <c r="A42" t="n">
        <v>8483609000</v>
      </c>
      <c r="B42" t="inlineStr">
        <is>
          <t>Embrayages et organes d'accouplement, y compris les joints d'articulation</t>
        </is>
      </c>
    </row>
    <row r="43">
      <c r="A43" t="n">
        <v>8501102100</v>
      </c>
      <c r="B43" t="inlineStr">
        <is>
          <t>Moteurs a courant alternatif?:</t>
        </is>
      </c>
    </row>
    <row r="44">
      <c r="A44" t="n">
        <v>8501103100</v>
      </c>
      <c r="B44" t="inlineStr">
        <is>
          <t>Moteurs a courant continu?</t>
        </is>
      </c>
    </row>
    <row r="45">
      <c r="A45" t="n">
        <v>8501201100</v>
      </c>
      <c r="B45" t="inlineStr">
        <is>
          <t>Moteurs universels a engrenages</t>
        </is>
      </c>
    </row>
    <row r="46">
      <c r="A46" t="n">
        <v>8503001000</v>
      </c>
      <c r="B46" t="inlineStr">
        <is>
          <t>Stators et rotors</t>
        </is>
      </c>
    </row>
    <row r="47">
      <c r="A47" t="n">
        <v>8507609000</v>
      </c>
      <c r="B47" t="inlineStr">
        <is>
          <t>Autres accumulateurs au lithium-ion</t>
        </is>
      </c>
    </row>
    <row r="48">
      <c r="A48" t="n">
        <v>8508709000</v>
      </c>
      <c r="B48" t="inlineStr">
        <is>
          <t>Autres</t>
        </is>
      </c>
    </row>
    <row r="49">
      <c r="A49" t="n">
        <v>8516809000</v>
      </c>
      <c r="B49" t="inlineStr">
        <is>
          <t>Autres resistances chauffantes</t>
        </is>
      </c>
    </row>
    <row r="50">
      <c r="A50" t="n">
        <v>8516905000</v>
      </c>
      <c r="B50" t="inlineStr">
        <is>
          <t>Parties de fours, de cuisinieres, de rechauds, de tables de cuisson ou de grils et rotissoires</t>
        </is>
      </c>
    </row>
    <row r="51">
      <c r="A51" t="n">
        <v>8516909000</v>
      </c>
      <c r="B51" t="inlineStr">
        <is>
          <t>Parties d'autres appareils</t>
        </is>
      </c>
    </row>
    <row r="52">
      <c r="A52" t="n">
        <v>8529909110</v>
      </c>
      <c r="B52" t="inlineStr">
        <is>
          <t>Assemblages electroniques</t>
        </is>
      </c>
    </row>
    <row r="53">
      <c r="A53" t="n">
        <v>8529909120</v>
      </c>
      <c r="B53" t="inlineStr">
        <is>
          <t>Pour appareils recepteurs de television Pour appareils recepteurs de television</t>
        </is>
      </c>
    </row>
    <row r="54">
      <c r="A54" t="n">
        <v>8529909200</v>
      </c>
      <c r="B54" t="inlineStr">
        <is>
          <t>Autres parties pour autres appareils</t>
        </is>
      </c>
    </row>
    <row r="55">
      <c r="A55" t="n">
        <v>8529909210</v>
      </c>
      <c r="B55" t="inlineStr">
        <is>
          <t>Autres parties pour appareils recepteurs de television</t>
        </is>
      </c>
    </row>
    <row r="56">
      <c r="A56" t="n">
        <v>8529909220</v>
      </c>
      <c r="B56" t="inlineStr">
        <is>
          <t>Autres parties pour moniteurs</t>
        </is>
      </c>
    </row>
    <row r="57">
      <c r="A57" t="n">
        <v>8529909290</v>
      </c>
      <c r="B57" t="inlineStr">
        <is>
          <t>Autres parties pour autres appareils</t>
        </is>
      </c>
    </row>
    <row r="58">
      <c r="A58" t="n">
        <v>8532299000</v>
      </c>
      <c r="B58" t="inlineStr">
        <is>
          <t>Autres condensateurs fixes</t>
        </is>
      </c>
    </row>
    <row r="59">
      <c r="A59" t="n">
        <v>8533409900</v>
      </c>
      <c r="B59" t="inlineStr">
        <is>
          <t>Autres resistances variables (y compris les rheostats et les potentiometres)?:</t>
        </is>
      </c>
    </row>
    <row r="60">
      <c r="A60" t="n">
        <v>8536101000</v>
      </c>
      <c r="B60" t="inlineStr">
        <is>
          <t>Fusibles</t>
        </is>
      </c>
    </row>
    <row r="61">
      <c r="A61" t="n">
        <v>8536503000</v>
      </c>
      <c r="B61" t="inlineStr">
        <is>
          <t>Commulateurs</t>
        </is>
      </c>
    </row>
    <row r="62">
      <c r="A62" t="n">
        <v>8536909000</v>
      </c>
      <c r="B62" t="inlineStr">
        <is>
          <t>Autres appareillage pour la connexion des circuits electriques</t>
        </is>
      </c>
    </row>
    <row r="63">
      <c r="A63" t="n">
        <v>8539510000</v>
      </c>
      <c r="B63" t="inlineStr">
        <is>
          <t>Modules a diodes emettrices de lumiere (LED)</t>
        </is>
      </c>
    </row>
    <row r="64">
      <c r="A64" t="n">
        <v>8540710000</v>
      </c>
      <c r="B64" t="inlineStr">
        <is>
          <t>Magnetrons</t>
        </is>
      </c>
    </row>
    <row r="65">
      <c r="A65" t="n">
        <v>8541109000</v>
      </c>
      <c r="B65" t="inlineStr">
        <is>
          <t>Diodes, autres que les photodiodes et les diodes emettrices de lumiere?Diodes, autres que les photodiodes et les diodes emettrices de lumiere?(LED)</t>
        </is>
      </c>
    </row>
    <row r="66">
      <c r="A66" t="n">
        <v>8541410000</v>
      </c>
      <c r="B66" t="inlineStr">
        <is>
          <t>Diodes emettrices de lumiere (LED)</t>
        </is>
      </c>
    </row>
    <row r="67">
      <c r="A67" t="n">
        <v>8542310000</v>
      </c>
      <c r="B67" t="inlineStr">
        <is>
          <t>Circuits integres electroniques</t>
        </is>
      </c>
    </row>
    <row r="68">
      <c r="A68" t="n">
        <v>8543707000</v>
      </c>
      <c r="B68" t="inlineStr">
        <is>
          <t>Telecommande a rayons infrarouges pour la commande a distance des recepteurs de television, magnetoscopes ou autres appareils electriques</t>
        </is>
      </c>
    </row>
    <row r="69">
      <c r="A69" t="n">
        <v>8543709000</v>
      </c>
      <c r="B69" t="inlineStr">
        <is>
          <t>Autres machines et appareils electriques ayant une fonction propre</t>
        </is>
      </c>
    </row>
    <row r="70">
      <c r="A70" t="n">
        <v>8544422900</v>
      </c>
      <c r="B70" t="inlineStr">
        <is>
          <t>Pour autres usages</t>
        </is>
      </c>
    </row>
    <row r="71">
      <c r="A71" t="n">
        <v>9025192000</v>
      </c>
      <c r="B71" t="inlineStr">
        <is>
          <t>Thermocouples</t>
        </is>
      </c>
    </row>
    <row r="72">
      <c r="A72" t="n">
        <v>9031490000</v>
      </c>
      <c r="B72" t="inlineStr">
        <is>
          <t>Autres instruments et appareils optiques</t>
        </is>
      </c>
    </row>
    <row r="73">
      <c r="A73" t="n">
        <v>9032109900</v>
      </c>
      <c r="B73" t="inlineStr">
        <is>
          <t>Autres thermostats</t>
        </is>
      </c>
    </row>
    <row r="74">
      <c r="A74" t="n">
        <v>9032893100</v>
      </c>
      <c r="B74" t="inlineStr">
        <is>
          <t>Autres instruments et appareils</t>
        </is>
      </c>
    </row>
    <row r="75">
      <c r="A75" t="n">
        <v>9032893200</v>
      </c>
      <c r="B75" t="inlineStr">
        <is>
          <t>Autres, pour la regulation ou le controle des grandeurs non electriques</t>
        </is>
      </c>
    </row>
    <row r="76">
      <c r="A76" t="n">
        <v>9032899000</v>
      </c>
      <c r="B76" t="inlineStr">
        <is>
          <t>Autres instruments et appareils pour la regulation ou le controle automatiques</t>
        </is>
      </c>
    </row>
    <row r="77">
      <c r="A77" t="n">
        <v>9107000000</v>
      </c>
      <c r="B77" t="inlineStr">
        <is>
          <t>Interrupteurs horaires et autres appareils permettant de declencher un mecanisme a temps donne, munis d'un mouvement d'horlogerie ou d'un moteur synchrone?.</t>
        </is>
      </c>
    </row>
    <row r="78">
      <c r="A78" t="n">
        <v>9603500000</v>
      </c>
      <c r="B78" t="inlineStr">
        <is>
          <t>Autres brosses constituant des parties de machines, d'appareils ou de vehicules</t>
        </is>
      </c>
    </row>
  </sheetData>
  <mergeCells count="1">
    <mergeCell ref="A1:B1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7030A0"/>
    <outlinePr summaryBelow="1" summaryRight="1"/>
    <pageSetUpPr/>
  </sheetPr>
  <dimension ref="A1:B179"/>
  <sheetViews>
    <sheetView zoomScaleNormal="100" workbookViewId="0">
      <pane ySplit="2" topLeftCell="A147" activePane="bottomLeft" state="frozen"/>
      <selection pane="bottomLeft" activeCell="A3" sqref="A3:A179"/>
    </sheetView>
  </sheetViews>
  <sheetFormatPr baseColWidth="8" defaultColWidth="8.7109375" defaultRowHeight="15"/>
  <cols>
    <col width="16" customWidth="1" min="1" max="1"/>
    <col width="50" customWidth="1" min="2" max="2"/>
  </cols>
  <sheetData>
    <row r="1">
      <c r="A1" s="34" t="inlineStr">
        <is>
          <t>PPI — HSBC (Kits)</t>
        </is>
      </c>
    </row>
    <row r="2">
      <c r="A2" s="23" t="inlineStr">
        <is>
          <t>HS Code</t>
        </is>
      </c>
      <c r="B2" s="23" t="inlineStr">
        <is>
          <t>Description</t>
        </is>
      </c>
    </row>
    <row r="3">
      <c r="A3" t="n">
        <v>3403999000</v>
      </c>
      <c r="B3" t="inlineStr">
        <is>
          <t>Grease</t>
        </is>
      </c>
    </row>
    <row r="4">
      <c r="A4" t="n">
        <v>3810901900</v>
      </c>
      <c r="B4" t="inlineStr">
        <is>
          <t>Flux</t>
        </is>
      </c>
    </row>
    <row r="5">
      <c r="A5" t="n">
        <v>3917321000</v>
      </c>
      <c r="B5" t="inlineStr">
        <is>
          <t>Tube Assembly,Drain</t>
        </is>
      </c>
    </row>
    <row r="6">
      <c r="A6" t="n">
        <v>3917331000</v>
      </c>
      <c r="B6" t="inlineStr">
        <is>
          <t>Duct Assembly,Multi</t>
        </is>
      </c>
    </row>
    <row r="7">
      <c r="A7" t="n">
        <v>3919909100</v>
      </c>
      <c r="B7" t="inlineStr">
        <is>
          <t>Name Plate,Pet</t>
        </is>
      </c>
    </row>
    <row r="8">
      <c r="A8" t="n">
        <v>3919909200</v>
      </c>
      <c r="B8" t="inlineStr">
        <is>
          <t>Adhesive</t>
        </is>
      </c>
    </row>
    <row r="9">
      <c r="A9" t="n">
        <v>3919909200</v>
      </c>
      <c r="B9" t="inlineStr">
        <is>
          <t>Tape,Polyester</t>
        </is>
      </c>
    </row>
    <row r="10">
      <c r="A10" t="n">
        <v>3919909200</v>
      </c>
      <c r="B10" t="inlineStr">
        <is>
          <t>Tape,Masking</t>
        </is>
      </c>
    </row>
    <row r="11">
      <c r="A11" t="n">
        <v>3919909200</v>
      </c>
      <c r="B11" t="inlineStr">
        <is>
          <t>Tape,PETP</t>
        </is>
      </c>
    </row>
    <row r="12">
      <c r="A12" t="n">
        <v>3919909200</v>
      </c>
      <c r="B12" t="inlineStr">
        <is>
          <t>tape,Non Woven</t>
        </is>
      </c>
    </row>
    <row r="13">
      <c r="A13" t="n">
        <v>3919909200</v>
      </c>
      <c r="B13" t="inlineStr">
        <is>
          <t>Tape,Filament</t>
        </is>
      </c>
    </row>
    <row r="14">
      <c r="A14" t="n">
        <v>3919909200</v>
      </c>
      <c r="B14" t="inlineStr">
        <is>
          <t>Tape,OPP</t>
        </is>
      </c>
    </row>
    <row r="15">
      <c r="A15" t="n">
        <v>3919909200</v>
      </c>
      <c r="B15" t="inlineStr">
        <is>
          <t>Tape,Kraft</t>
        </is>
      </c>
    </row>
    <row r="16">
      <c r="A16" t="n">
        <v>3919909200</v>
      </c>
      <c r="B16" t="inlineStr">
        <is>
          <t>Gasket,Foam</t>
        </is>
      </c>
    </row>
    <row r="17">
      <c r="A17" t="n">
        <v>3923909000</v>
      </c>
      <c r="B17" t="inlineStr">
        <is>
          <t>Base Assembly,Plate</t>
        </is>
      </c>
    </row>
    <row r="18">
      <c r="A18" t="n">
        <v>3923909000</v>
      </c>
      <c r="B18" t="inlineStr">
        <is>
          <t>Packing,Upper</t>
        </is>
      </c>
    </row>
    <row r="19">
      <c r="A19" t="n">
        <v>3923909000</v>
      </c>
      <c r="B19" t="inlineStr">
        <is>
          <t>Packing,Front</t>
        </is>
      </c>
    </row>
    <row r="20">
      <c r="A20" t="n">
        <v>3923909000</v>
      </c>
      <c r="B20" t="inlineStr">
        <is>
          <t>Packing,Side</t>
        </is>
      </c>
    </row>
    <row r="21">
      <c r="A21" t="n">
        <v>3923909000</v>
      </c>
      <c r="B21" t="inlineStr">
        <is>
          <t>Packing,Sheet</t>
        </is>
      </c>
    </row>
    <row r="22">
      <c r="A22" t="n">
        <v>3923909000</v>
      </c>
      <c r="B22" t="inlineStr">
        <is>
          <t>Packing,Shelf</t>
        </is>
      </c>
    </row>
    <row r="23">
      <c r="A23" t="n">
        <v>3926909700</v>
      </c>
      <c r="B23" t="inlineStr">
        <is>
          <t>Holder,Pipe</t>
        </is>
      </c>
    </row>
    <row r="24">
      <c r="A24" t="n">
        <v>3926909990</v>
      </c>
      <c r="B24" t="inlineStr">
        <is>
          <t>Bush</t>
        </is>
      </c>
    </row>
    <row r="25">
      <c r="A25" t="n">
        <v>3926909990</v>
      </c>
      <c r="B25" t="inlineStr">
        <is>
          <t>Decor Assembly,Duct</t>
        </is>
      </c>
    </row>
    <row r="26">
      <c r="A26" t="n">
        <v>3926909990</v>
      </c>
      <c r="B26" t="inlineStr">
        <is>
          <t>Cover,PTC</t>
        </is>
      </c>
    </row>
    <row r="27">
      <c r="A27" t="n">
        <v>3926909990</v>
      </c>
      <c r="B27" t="inlineStr">
        <is>
          <t>Band</t>
        </is>
      </c>
    </row>
    <row r="28">
      <c r="A28" t="n">
        <v>4016939000</v>
      </c>
      <c r="B28" t="inlineStr">
        <is>
          <t>Gasket Assembly</t>
        </is>
      </c>
    </row>
    <row r="29">
      <c r="A29" t="n">
        <v>4016992200</v>
      </c>
      <c r="B29" t="inlineStr">
        <is>
          <t>Damper,Noise</t>
        </is>
      </c>
    </row>
    <row r="30">
      <c r="A30" t="n">
        <v>4016992900</v>
      </c>
      <c r="B30" t="inlineStr">
        <is>
          <t>Damper</t>
        </is>
      </c>
    </row>
    <row r="31">
      <c r="A31" t="n">
        <v>4016992900</v>
      </c>
      <c r="B31" t="inlineStr">
        <is>
          <t>Gasket</t>
        </is>
      </c>
    </row>
    <row r="32">
      <c r="A32" t="n">
        <v>4821101100</v>
      </c>
      <c r="B32" t="inlineStr">
        <is>
          <t>Label,Barcode</t>
        </is>
      </c>
    </row>
    <row r="33">
      <c r="A33" t="n">
        <v>4821101100</v>
      </c>
      <c r="B33" t="inlineStr">
        <is>
          <t>Label,Caution</t>
        </is>
      </c>
    </row>
    <row r="34">
      <c r="A34" t="n">
        <v>4821101100</v>
      </c>
      <c r="B34" t="inlineStr">
        <is>
          <t>Label,Circuit</t>
        </is>
      </c>
    </row>
    <row r="35">
      <c r="A35" t="n">
        <v>4821101100</v>
      </c>
      <c r="B35" t="inlineStr">
        <is>
          <t>Label,Energy</t>
        </is>
      </c>
    </row>
    <row r="36">
      <c r="A36" t="n">
        <v>4821101100</v>
      </c>
      <c r="B36" t="inlineStr">
        <is>
          <t>Cap,Label</t>
        </is>
      </c>
    </row>
    <row r="37">
      <c r="A37" t="n">
        <v>4821101100</v>
      </c>
      <c r="B37" t="inlineStr">
        <is>
          <t>Card,Warranty</t>
        </is>
      </c>
    </row>
    <row r="38">
      <c r="A38" t="n">
        <v>4821109100</v>
      </c>
      <c r="B38" t="inlineStr">
        <is>
          <t>Label</t>
        </is>
      </c>
    </row>
    <row r="39">
      <c r="A39" t="n">
        <v>4821109100</v>
      </c>
      <c r="B39" t="inlineStr">
        <is>
          <t>Ribbon</t>
        </is>
      </c>
    </row>
    <row r="40">
      <c r="A40" t="n">
        <v>4821901000</v>
      </c>
      <c r="B40" t="inlineStr">
        <is>
          <t>Ribbon</t>
        </is>
      </c>
    </row>
    <row r="41">
      <c r="A41" t="n">
        <v>4911101000</v>
      </c>
      <c r="B41" t="inlineStr">
        <is>
          <t>Manual,Owners</t>
        </is>
      </c>
    </row>
    <row r="42">
      <c r="A42" t="n">
        <v>4911101000</v>
      </c>
      <c r="B42" t="inlineStr">
        <is>
          <t>Card,Warranty</t>
        </is>
      </c>
    </row>
    <row r="43">
      <c r="A43" t="n">
        <v>4911109000</v>
      </c>
      <c r="B43" t="inlineStr">
        <is>
          <t>Card,User</t>
        </is>
      </c>
    </row>
    <row r="44">
      <c r="A44" t="n">
        <v>4911109000</v>
      </c>
      <c r="B44" t="inlineStr">
        <is>
          <t>Manual</t>
        </is>
      </c>
    </row>
    <row r="45">
      <c r="A45" t="n">
        <v>5906100000</v>
      </c>
      <c r="B45" t="inlineStr">
        <is>
          <t>Tape,Cotton</t>
        </is>
      </c>
    </row>
    <row r="46">
      <c r="A46" t="n">
        <v>7019909000</v>
      </c>
      <c r="B46" t="inlineStr">
        <is>
          <t>Tape,Glass Fiber</t>
        </is>
      </c>
    </row>
    <row r="47">
      <c r="A47" t="n">
        <v>7210492000</v>
      </c>
      <c r="B47" t="inlineStr">
        <is>
          <t>Sheet,Steel(PCM)_Cabinet</t>
        </is>
      </c>
    </row>
    <row r="48">
      <c r="A48" t="n">
        <v>7318152100</v>
      </c>
      <c r="B48" t="inlineStr">
        <is>
          <t>Screw</t>
        </is>
      </c>
    </row>
    <row r="49">
      <c r="A49" t="n">
        <v>7318152900</v>
      </c>
      <c r="B49" t="inlineStr">
        <is>
          <t>Bolt,Common</t>
        </is>
      </c>
    </row>
    <row r="50">
      <c r="A50" t="n">
        <v>7318152900</v>
      </c>
      <c r="B50" t="inlineStr">
        <is>
          <t>Screw,Tapping</t>
        </is>
      </c>
    </row>
    <row r="51">
      <c r="A51" t="n">
        <v>7318152900</v>
      </c>
      <c r="B51" t="inlineStr">
        <is>
          <t>Screw,Taptite</t>
        </is>
      </c>
    </row>
    <row r="52">
      <c r="A52" t="n">
        <v>7318152900</v>
      </c>
      <c r="B52" t="inlineStr">
        <is>
          <t>Screw,Customized</t>
        </is>
      </c>
    </row>
    <row r="53">
      <c r="A53" t="n">
        <v>7410119000</v>
      </c>
      <c r="B53" t="inlineStr">
        <is>
          <t>Sheet,Copper</t>
        </is>
      </c>
    </row>
    <row r="54">
      <c r="A54" t="n">
        <v>7411292000</v>
      </c>
      <c r="B54" t="inlineStr">
        <is>
          <t>Pipe Assembly,Joint</t>
        </is>
      </c>
    </row>
    <row r="55">
      <c r="A55" t="n">
        <v>7411292000</v>
      </c>
      <c r="B55" t="inlineStr">
        <is>
          <t>Pipe,Joint</t>
        </is>
      </c>
    </row>
    <row r="56">
      <c r="A56" t="n">
        <v>7411292000</v>
      </c>
      <c r="B56" t="inlineStr">
        <is>
          <t>Pipe Assembly,Suction</t>
        </is>
      </c>
    </row>
    <row r="57">
      <c r="A57" t="n">
        <v>7411292000</v>
      </c>
      <c r="B57" t="inlineStr">
        <is>
          <t>Pipe Assembly,Hot Line</t>
        </is>
      </c>
    </row>
    <row r="58">
      <c r="A58" t="n">
        <v>7607209200</v>
      </c>
      <c r="B58" t="inlineStr">
        <is>
          <t>Tape,Aluminum</t>
        </is>
      </c>
    </row>
    <row r="59">
      <c r="A59" t="n">
        <v>8207401000</v>
      </c>
      <c r="B59" t="inlineStr">
        <is>
          <t>Tape,Double Faced</t>
        </is>
      </c>
    </row>
    <row r="60">
      <c r="A60" t="n">
        <v>8302109000</v>
      </c>
      <c r="B60" t="inlineStr">
        <is>
          <t>Hinge Assembly,Upper</t>
        </is>
      </c>
    </row>
    <row r="61">
      <c r="A61" t="n">
        <v>8302109000</v>
      </c>
      <c r="B61" t="inlineStr">
        <is>
          <t>Cover Assembly,Hinge</t>
        </is>
      </c>
    </row>
    <row r="62">
      <c r="A62" t="n">
        <v>8302109000</v>
      </c>
      <c r="B62" t="inlineStr">
        <is>
          <t>Hinge Assembly,Center</t>
        </is>
      </c>
    </row>
    <row r="63">
      <c r="A63" t="n">
        <v>8302109000</v>
      </c>
      <c r="B63" t="inlineStr">
        <is>
          <t>Hinge Assembly,Lower</t>
        </is>
      </c>
    </row>
    <row r="64">
      <c r="A64" t="n">
        <v>8302413000</v>
      </c>
      <c r="B64" t="inlineStr">
        <is>
          <t>Bracket</t>
        </is>
      </c>
    </row>
    <row r="65">
      <c r="A65" t="n">
        <v>8311300000</v>
      </c>
      <c r="B65" t="inlineStr">
        <is>
          <t>Solder Soldering (Ag)</t>
        </is>
      </c>
    </row>
    <row r="66">
      <c r="A66" t="n">
        <v>8311900000</v>
      </c>
      <c r="B66" t="inlineStr">
        <is>
          <t>Solder Soldering (Cu)</t>
        </is>
      </c>
    </row>
    <row r="67">
      <c r="A67" t="n">
        <v>8414302100</v>
      </c>
      <c r="B67" t="inlineStr">
        <is>
          <t>Compressor,Set Assembly</t>
        </is>
      </c>
    </row>
    <row r="68">
      <c r="A68" t="n">
        <v>8418991000</v>
      </c>
      <c r="B68" t="inlineStr">
        <is>
          <t>Condenser Assembly,Plate(Right)</t>
        </is>
      </c>
    </row>
    <row r="69">
      <c r="A69" t="n">
        <v>8418991000</v>
      </c>
      <c r="B69" t="inlineStr">
        <is>
          <t>Condenser Assembly,Plate(Rear)</t>
        </is>
      </c>
    </row>
    <row r="70">
      <c r="A70" t="n">
        <v>8418999200</v>
      </c>
      <c r="B70" t="inlineStr">
        <is>
          <t>Evaporator Assembly</t>
        </is>
      </c>
    </row>
    <row r="71">
      <c r="A71" t="n">
        <v>8418999300</v>
      </c>
      <c r="B71" t="inlineStr">
        <is>
          <t>Door,Fresh Room</t>
        </is>
      </c>
    </row>
    <row r="72">
      <c r="A72" t="n">
        <v>8418999900</v>
      </c>
      <c r="B72" t="inlineStr">
        <is>
          <t>Cap Assembly,Decor Freezer</t>
        </is>
      </c>
    </row>
    <row r="73">
      <c r="A73" t="n">
        <v>8418999900</v>
      </c>
      <c r="B73" t="inlineStr">
        <is>
          <t>Tray Assembly,Ice</t>
        </is>
      </c>
    </row>
    <row r="74">
      <c r="A74" t="n">
        <v>8418999900</v>
      </c>
      <c r="B74" t="inlineStr">
        <is>
          <t>Reinforce Assembly</t>
        </is>
      </c>
    </row>
    <row r="75">
      <c r="A75" t="n">
        <v>8418999900</v>
      </c>
      <c r="B75" t="inlineStr">
        <is>
          <t>Base Assembly,Compressor</t>
        </is>
      </c>
    </row>
    <row r="76">
      <c r="A76" t="n">
        <v>8418999900</v>
      </c>
      <c r="B76" t="inlineStr">
        <is>
          <t>Plate,Rear</t>
        </is>
      </c>
    </row>
    <row r="77">
      <c r="A77" t="n">
        <v>8418999900</v>
      </c>
      <c r="B77" t="inlineStr">
        <is>
          <t>Barrier Assembly,Semi</t>
        </is>
      </c>
    </row>
    <row r="78">
      <c r="A78" t="n">
        <v>8418999900</v>
      </c>
      <c r="B78" t="inlineStr">
        <is>
          <t>Stopper,Compressor</t>
        </is>
      </c>
    </row>
    <row r="79">
      <c r="A79" t="n">
        <v>8418999900</v>
      </c>
      <c r="B79" t="inlineStr">
        <is>
          <t>Shelf,Glass</t>
        </is>
      </c>
    </row>
    <row r="80">
      <c r="A80" t="n">
        <v>8418999900</v>
      </c>
      <c r="B80" t="inlineStr">
        <is>
          <t>Leg Assembly,Frame</t>
        </is>
      </c>
    </row>
    <row r="81">
      <c r="A81" t="n">
        <v>8418999900</v>
      </c>
      <c r="B81" t="inlineStr">
        <is>
          <t>Tray,Fresh Room</t>
        </is>
      </c>
    </row>
    <row r="82">
      <c r="A82" t="n">
        <v>8418999900</v>
      </c>
      <c r="B82" t="inlineStr">
        <is>
          <t>Grille Assembly,Fan</t>
        </is>
      </c>
    </row>
    <row r="83">
      <c r="A83" t="n">
        <v>8418999900</v>
      </c>
      <c r="B83" t="inlineStr">
        <is>
          <t>Guide,Rail</t>
        </is>
      </c>
    </row>
    <row r="84">
      <c r="A84" t="n">
        <v>8418999900</v>
      </c>
      <c r="B84" t="inlineStr">
        <is>
          <t>Cover Assembly,Lamp</t>
        </is>
      </c>
    </row>
    <row r="85">
      <c r="A85" t="n">
        <v>8418999900</v>
      </c>
      <c r="B85" t="inlineStr">
        <is>
          <t>Plate Assembly,Lower</t>
        </is>
      </c>
    </row>
    <row r="86">
      <c r="A86" t="n">
        <v>8418999900</v>
      </c>
      <c r="B86" t="inlineStr">
        <is>
          <t>Holder,Drier</t>
        </is>
      </c>
    </row>
    <row r="87">
      <c r="A87" t="n">
        <v>8418999900</v>
      </c>
      <c r="B87" t="inlineStr">
        <is>
          <t>Supporter Assembly,Hinge</t>
        </is>
      </c>
    </row>
    <row r="88">
      <c r="A88" t="n">
        <v>8418999900</v>
      </c>
      <c r="B88" t="inlineStr">
        <is>
          <t>Plate Assembly,Front</t>
        </is>
      </c>
    </row>
    <row r="89">
      <c r="A89" t="n">
        <v>8418999900</v>
      </c>
      <c r="B89" t="inlineStr">
        <is>
          <t>Basket,Door</t>
        </is>
      </c>
    </row>
    <row r="90">
      <c r="A90" t="n">
        <v>8418999900</v>
      </c>
      <c r="B90" t="inlineStr">
        <is>
          <t>Bracket,Hinge</t>
        </is>
      </c>
    </row>
    <row r="91">
      <c r="A91" t="n">
        <v>8418999900</v>
      </c>
      <c r="B91" t="inlineStr">
        <is>
          <t>Duct Assembly,Connector</t>
        </is>
      </c>
    </row>
    <row r="92">
      <c r="A92" t="n">
        <v>8418999900</v>
      </c>
      <c r="B92" t="inlineStr">
        <is>
          <t>Handle,Rear</t>
        </is>
      </c>
    </row>
    <row r="93">
      <c r="A93" t="n">
        <v>8418999900</v>
      </c>
      <c r="B93" t="inlineStr">
        <is>
          <t>Harness Assembly</t>
        </is>
      </c>
    </row>
    <row r="94">
      <c r="A94" t="n">
        <v>8418999900</v>
      </c>
      <c r="B94" t="inlineStr">
        <is>
          <t>Case Assembly,Lamp</t>
        </is>
      </c>
    </row>
    <row r="95">
      <c r="A95" t="n">
        <v>8418999900</v>
      </c>
      <c r="B95" t="inlineStr">
        <is>
          <t>Cap,Duct</t>
        </is>
      </c>
    </row>
    <row r="96">
      <c r="A96" t="n">
        <v>8418999900</v>
      </c>
      <c r="B96" t="inlineStr">
        <is>
          <t>Guide,Duct</t>
        </is>
      </c>
    </row>
    <row r="97">
      <c r="A97" t="n">
        <v>8418999900</v>
      </c>
      <c r="B97" t="inlineStr">
        <is>
          <t>Tray Assembly,Vegetable</t>
        </is>
      </c>
    </row>
    <row r="98">
      <c r="A98" t="n">
        <v>8418999900</v>
      </c>
      <c r="B98" t="inlineStr">
        <is>
          <t>Sheet,Steel(etc)_ F O/Door</t>
        </is>
      </c>
    </row>
    <row r="99">
      <c r="A99" t="n">
        <v>8418999900</v>
      </c>
      <c r="B99" t="inlineStr">
        <is>
          <t>Guide,Ice</t>
        </is>
      </c>
    </row>
    <row r="100">
      <c r="A100" t="n">
        <v>8418999900</v>
      </c>
      <c r="B100" t="inlineStr">
        <is>
          <t>Bucket,Ice</t>
        </is>
      </c>
    </row>
    <row r="101">
      <c r="A101" t="n">
        <v>8418999900</v>
      </c>
      <c r="B101" t="inlineStr">
        <is>
          <t>Decor,Shelf</t>
        </is>
      </c>
    </row>
    <row r="102">
      <c r="A102" t="n">
        <v>8418999900</v>
      </c>
      <c r="B102" t="inlineStr">
        <is>
          <t>Sheet,Steel(etc)_R O/Door</t>
        </is>
      </c>
    </row>
    <row r="103">
      <c r="A103" t="n">
        <v>8418999900</v>
      </c>
      <c r="B103" t="inlineStr">
        <is>
          <t>Cover,Door Switch</t>
        </is>
      </c>
    </row>
    <row r="104">
      <c r="A104" t="n">
        <v>8418999900</v>
      </c>
      <c r="B104" t="inlineStr">
        <is>
          <t>Tray,Egg</t>
        </is>
      </c>
    </row>
    <row r="105">
      <c r="A105" t="n">
        <v>8418999900</v>
      </c>
      <c r="B105" t="inlineStr">
        <is>
          <t>Button Assembly</t>
        </is>
      </c>
    </row>
    <row r="106">
      <c r="A106" t="n">
        <v>8418999900</v>
      </c>
      <c r="B106" t="inlineStr">
        <is>
          <t>Cap Assembly,Decor Refrigerator</t>
        </is>
      </c>
    </row>
    <row r="107">
      <c r="A107" t="n">
        <v>8418999900</v>
      </c>
      <c r="B107" t="inlineStr">
        <is>
          <t>Case Assembly,Dispenser</t>
        </is>
      </c>
    </row>
    <row r="108">
      <c r="A108" t="n">
        <v>8418999900</v>
      </c>
      <c r="B108" t="inlineStr">
        <is>
          <t>Case,Outer</t>
        </is>
      </c>
    </row>
    <row r="109">
      <c r="A109" t="n">
        <v>8418999900</v>
      </c>
      <c r="B109" t="inlineStr">
        <is>
          <t>Cover,Dispenser</t>
        </is>
      </c>
    </row>
    <row r="110">
      <c r="A110" t="n">
        <v>8418999900</v>
      </c>
      <c r="B110" t="inlineStr">
        <is>
          <t>Tank Assembly,Water</t>
        </is>
      </c>
    </row>
    <row r="111">
      <c r="A111" t="n">
        <v>8418999900</v>
      </c>
      <c r="B111" t="inlineStr">
        <is>
          <t>Tray,Drip</t>
        </is>
      </c>
    </row>
    <row r="112">
      <c r="A112" t="n">
        <v>8418999900</v>
      </c>
      <c r="B112" t="inlineStr">
        <is>
          <t>Plate,Bottom</t>
        </is>
      </c>
    </row>
    <row r="113">
      <c r="A113" t="n">
        <v>8418999900</v>
      </c>
      <c r="B113" t="inlineStr">
        <is>
          <t>Plate Assembly,Center</t>
        </is>
      </c>
    </row>
    <row r="114">
      <c r="A114" t="n">
        <v>8421391500</v>
      </c>
      <c r="B114" t="inlineStr">
        <is>
          <t>Drier Assembly</t>
        </is>
      </c>
    </row>
    <row r="115">
      <c r="A115" t="n">
        <v>8505199000</v>
      </c>
      <c r="B115" t="inlineStr">
        <is>
          <t>Magnet,Ferrite</t>
        </is>
      </c>
    </row>
    <row r="116">
      <c r="A116" t="n">
        <v>8529909120</v>
      </c>
      <c r="B116" t="inlineStr">
        <is>
          <t>Tuner,Analog/Digital</t>
        </is>
      </c>
    </row>
    <row r="117">
      <c r="A117" t="n">
        <v>8529909120</v>
      </c>
      <c r="B117" t="inlineStr">
        <is>
          <t>PCB</t>
        </is>
      </c>
    </row>
    <row r="118">
      <c r="A118" t="n">
        <v>8529909120</v>
      </c>
      <c r="B118" t="inlineStr">
        <is>
          <t>Base Assembly</t>
        </is>
      </c>
    </row>
    <row r="119">
      <c r="A119" t="n">
        <v>8529909120</v>
      </c>
      <c r="B119" t="inlineStr">
        <is>
          <t>Speaker Assembly</t>
        </is>
      </c>
    </row>
    <row r="120">
      <c r="A120" t="n">
        <v>8529909120</v>
      </c>
      <c r="B120" t="inlineStr">
        <is>
          <t>Module,Wifi Bluetooth Module</t>
        </is>
      </c>
    </row>
    <row r="121">
      <c r="A121" t="n">
        <v>8529909120</v>
      </c>
      <c r="B121" t="inlineStr">
        <is>
          <t>Power Supply Assembly</t>
        </is>
      </c>
    </row>
    <row r="122">
      <c r="A122" t="n">
        <v>8529909120</v>
      </c>
      <c r="B122" t="inlineStr">
        <is>
          <t>Crystal</t>
        </is>
      </c>
    </row>
    <row r="123">
      <c r="A123" t="n">
        <v>8529909210</v>
      </c>
      <c r="B123" t="inlineStr">
        <is>
          <t>OLED Module Assembly</t>
        </is>
      </c>
    </row>
    <row r="124">
      <c r="A124" t="n">
        <v>8529909210</v>
      </c>
      <c r="B124" t="inlineStr">
        <is>
          <t>LCD,Module-TFT</t>
        </is>
      </c>
    </row>
    <row r="125">
      <c r="A125" t="n">
        <v>8529909210</v>
      </c>
      <c r="B125" t="inlineStr">
        <is>
          <t>Supporter</t>
        </is>
      </c>
    </row>
    <row r="126">
      <c r="A126" t="n">
        <v>8529909210</v>
      </c>
      <c r="B126" t="inlineStr">
        <is>
          <t>Holder</t>
        </is>
      </c>
    </row>
    <row r="127">
      <c r="A127" t="n">
        <v>8529909210</v>
      </c>
      <c r="B127" t="inlineStr">
        <is>
          <t>Insulator</t>
        </is>
      </c>
    </row>
    <row r="128">
      <c r="A128" t="n">
        <v>8529909210</v>
      </c>
      <c r="B128" t="inlineStr">
        <is>
          <t>PCB Assembly,IR Key</t>
        </is>
      </c>
    </row>
    <row r="129">
      <c r="A129" t="n">
        <v>8529909210</v>
      </c>
      <c r="B129" t="inlineStr">
        <is>
          <t>Plate Assembly</t>
        </is>
      </c>
    </row>
    <row r="130">
      <c r="A130" t="n">
        <v>8529909210</v>
      </c>
      <c r="B130" t="inlineStr">
        <is>
          <t>Plate,Metal</t>
        </is>
      </c>
    </row>
    <row r="131">
      <c r="A131" t="n">
        <v>8529909210</v>
      </c>
      <c r="B131" t="inlineStr">
        <is>
          <t>Plate,Shield</t>
        </is>
      </c>
    </row>
    <row r="132">
      <c r="A132" t="n">
        <v>8529909210</v>
      </c>
      <c r="B132" t="inlineStr">
        <is>
          <t>Cover Assembly,Bottom</t>
        </is>
      </c>
    </row>
    <row r="133">
      <c r="A133" t="n">
        <v>8529909210</v>
      </c>
      <c r="B133" t="inlineStr">
        <is>
          <t>Cover,Accessory</t>
        </is>
      </c>
    </row>
    <row r="134">
      <c r="A134" t="n">
        <v>8529909210</v>
      </c>
      <c r="B134" t="inlineStr">
        <is>
          <t>Cover Assembly,Rear</t>
        </is>
      </c>
    </row>
    <row r="135">
      <c r="A135" t="n">
        <v>8532220000</v>
      </c>
      <c r="B135" t="inlineStr">
        <is>
          <t>Al Capacitor,Polymer</t>
        </is>
      </c>
    </row>
    <row r="136">
      <c r="A136" t="n">
        <v>8532220000</v>
      </c>
      <c r="B136" t="inlineStr">
        <is>
          <t>Capacitor,AL,Chip</t>
        </is>
      </c>
    </row>
    <row r="137">
      <c r="A137" t="n">
        <v>8532249000</v>
      </c>
      <c r="B137" t="inlineStr">
        <is>
          <t>Capacitor,Ceramic,Chip</t>
        </is>
      </c>
    </row>
    <row r="138">
      <c r="A138" t="n">
        <v>8533409100</v>
      </c>
      <c r="B138" t="inlineStr">
        <is>
          <t>Resistor,Chip</t>
        </is>
      </c>
    </row>
    <row r="139">
      <c r="A139" t="n">
        <v>8533409100</v>
      </c>
      <c r="B139" t="inlineStr">
        <is>
          <t>Resistor,Array</t>
        </is>
      </c>
    </row>
    <row r="140">
      <c r="A140" t="n">
        <v>8533409900</v>
      </c>
      <c r="B140" t="inlineStr">
        <is>
          <t>Varistor</t>
        </is>
      </c>
    </row>
    <row r="141">
      <c r="A141" t="n">
        <v>8533409900</v>
      </c>
      <c r="B141" t="inlineStr">
        <is>
          <t>Thermistor,NTC</t>
        </is>
      </c>
    </row>
    <row r="142">
      <c r="A142" t="n">
        <v>8536503000</v>
      </c>
      <c r="B142" t="inlineStr">
        <is>
          <t>IC,Analog Switch</t>
        </is>
      </c>
    </row>
    <row r="143">
      <c r="A143" t="n">
        <v>8536503000</v>
      </c>
      <c r="B143" t="inlineStr">
        <is>
          <t>IC,Load Switch</t>
        </is>
      </c>
    </row>
    <row r="144">
      <c r="A144" t="n">
        <v>8536503000</v>
      </c>
      <c r="B144" t="inlineStr">
        <is>
          <t>Switch,Magnet</t>
        </is>
      </c>
    </row>
    <row r="145">
      <c r="A145" t="n">
        <v>8536691900</v>
      </c>
      <c r="B145" t="inlineStr">
        <is>
          <t>Connector,FFC/FPC/PIC</t>
        </is>
      </c>
    </row>
    <row r="146">
      <c r="A146" t="n">
        <v>8536691900</v>
      </c>
      <c r="B146" t="inlineStr">
        <is>
          <t>Jack,Fiber Optic</t>
        </is>
      </c>
    </row>
    <row r="147">
      <c r="A147" t="n">
        <v>8536691900</v>
      </c>
      <c r="B147" t="inlineStr">
        <is>
          <t>Jack,Modular</t>
        </is>
      </c>
    </row>
    <row r="148">
      <c r="A148" t="n">
        <v>8536691900</v>
      </c>
      <c r="B148" t="inlineStr">
        <is>
          <t>Connector,HDMI</t>
        </is>
      </c>
    </row>
    <row r="149">
      <c r="A149" t="n">
        <v>8536691900</v>
      </c>
      <c r="B149" t="inlineStr">
        <is>
          <t>Connector,USB</t>
        </is>
      </c>
    </row>
    <row r="150">
      <c r="A150" t="n">
        <v>8536691900</v>
      </c>
      <c r="B150" t="inlineStr">
        <is>
          <t>Connector,Wafer</t>
        </is>
      </c>
    </row>
    <row r="151">
      <c r="A151" t="n">
        <v>8536699200</v>
      </c>
      <c r="B151" t="inlineStr">
        <is>
          <t>Connector,BtoB</t>
        </is>
      </c>
    </row>
    <row r="152">
      <c r="A152" t="n">
        <v>8537103900</v>
      </c>
      <c r="B152" t="inlineStr">
        <is>
          <t>Case Assembly,PCB</t>
        </is>
      </c>
    </row>
    <row r="153">
      <c r="A153" t="n">
        <v>8537103900</v>
      </c>
      <c r="B153" t="inlineStr">
        <is>
          <t>Cover Assembly,Display</t>
        </is>
      </c>
    </row>
    <row r="154">
      <c r="A154" t="n">
        <v>8537103900</v>
      </c>
      <c r="B154" t="inlineStr">
        <is>
          <t>Cover Assembly,PCB</t>
        </is>
      </c>
    </row>
    <row r="155">
      <c r="A155" t="n">
        <v>8537103900</v>
      </c>
      <c r="B155" t="inlineStr">
        <is>
          <t>PCB Assembly,Main</t>
        </is>
      </c>
    </row>
    <row r="156">
      <c r="A156" t="n">
        <v>8541102000</v>
      </c>
      <c r="B156" t="inlineStr">
        <is>
          <t>Diode,Rectifier</t>
        </is>
      </c>
    </row>
    <row r="157">
      <c r="A157" t="n">
        <v>8541102000</v>
      </c>
      <c r="B157" t="inlineStr">
        <is>
          <t>Diode,Schottky</t>
        </is>
      </c>
    </row>
    <row r="158">
      <c r="A158" t="n">
        <v>8541102000</v>
      </c>
      <c r="B158" t="inlineStr">
        <is>
          <t>Diode,Switching</t>
        </is>
      </c>
    </row>
    <row r="159">
      <c r="A159" t="n">
        <v>8541102000</v>
      </c>
      <c r="B159" t="inlineStr">
        <is>
          <t>Diode,TVS</t>
        </is>
      </c>
    </row>
    <row r="160">
      <c r="A160" t="n">
        <v>8541290000</v>
      </c>
      <c r="B160" t="inlineStr">
        <is>
          <t>TR,Bipolar</t>
        </is>
      </c>
    </row>
    <row r="161">
      <c r="A161" t="n">
        <v>8541290000</v>
      </c>
      <c r="B161" t="inlineStr">
        <is>
          <t>FET</t>
        </is>
      </c>
    </row>
    <row r="162">
      <c r="A162" t="n">
        <v>8542310000</v>
      </c>
      <c r="B162" t="inlineStr">
        <is>
          <t>Display SOC,Digital TV</t>
        </is>
      </c>
    </row>
    <row r="163">
      <c r="A163" t="n">
        <v>8542320000</v>
      </c>
      <c r="B163" t="inlineStr">
        <is>
          <t>IC,MCP,eMMC</t>
        </is>
      </c>
    </row>
    <row r="164">
      <c r="A164" t="n">
        <v>8542399000</v>
      </c>
      <c r="B164" t="inlineStr">
        <is>
          <t>IC,Audio Amplifier</t>
        </is>
      </c>
    </row>
    <row r="165">
      <c r="A165" t="n">
        <v>8542399000</v>
      </c>
      <c r="B165" t="inlineStr">
        <is>
          <t>IC,DC,DC Converter</t>
        </is>
      </c>
    </row>
    <row r="166">
      <c r="A166" t="n">
        <v>8542399000</v>
      </c>
      <c r="B166" t="inlineStr">
        <is>
          <t>IC,DDR4 SDRAM</t>
        </is>
      </c>
    </row>
    <row r="167">
      <c r="A167" t="n">
        <v>8542399000</v>
      </c>
      <c r="B167" t="inlineStr">
        <is>
          <t>IC,LDO Voltage Regulator</t>
        </is>
      </c>
    </row>
    <row r="168">
      <c r="A168" t="n">
        <v>8542399000</v>
      </c>
      <c r="B168" t="inlineStr">
        <is>
          <t>Inductor,Wire Wound,Chip</t>
        </is>
      </c>
    </row>
    <row r="169">
      <c r="A169" t="n">
        <v>8542399000</v>
      </c>
      <c r="B169" t="inlineStr">
        <is>
          <t>IC,Voltage Detector</t>
        </is>
      </c>
    </row>
    <row r="170">
      <c r="A170" t="n">
        <v>8542399000</v>
      </c>
      <c r="B170" t="inlineStr">
        <is>
          <t>Inductor,Multilayer,Chip</t>
        </is>
      </c>
    </row>
    <row r="171">
      <c r="A171" t="n">
        <v>8542399000</v>
      </c>
      <c r="B171" t="inlineStr">
        <is>
          <t>IC,PMIC</t>
        </is>
      </c>
    </row>
    <row r="172">
      <c r="A172" t="n">
        <v>8542399000</v>
      </c>
      <c r="B172" t="inlineStr">
        <is>
          <t>IC,Voltage Converter</t>
        </is>
      </c>
    </row>
    <row r="173">
      <c r="A173" t="n">
        <v>8542399000</v>
      </c>
      <c r="B173" t="inlineStr">
        <is>
          <t>IC,EEPROM</t>
        </is>
      </c>
    </row>
    <row r="174">
      <c r="A174" t="n">
        <v>8543709000</v>
      </c>
      <c r="B174" t="inlineStr">
        <is>
          <t>Filter,Bead</t>
        </is>
      </c>
    </row>
    <row r="175">
      <c r="A175" t="n">
        <v>8543901000</v>
      </c>
      <c r="B175" t="inlineStr">
        <is>
          <t>Remote Controller Assembly</t>
        </is>
      </c>
    </row>
    <row r="176">
      <c r="A176" t="n">
        <v>8544422200</v>
      </c>
      <c r="B176" t="inlineStr">
        <is>
          <t>Power Cord Assembly</t>
        </is>
      </c>
    </row>
    <row r="177">
      <c r="A177" t="n">
        <v>8544422200</v>
      </c>
      <c r="B177" t="inlineStr">
        <is>
          <t>Power Cord,Detach</t>
        </is>
      </c>
    </row>
    <row r="178">
      <c r="A178" t="n">
        <v>8544422900</v>
      </c>
      <c r="B178" t="inlineStr">
        <is>
          <t>Cable,FFC</t>
        </is>
      </c>
    </row>
    <row r="179">
      <c r="A179" t="n">
        <v>8544422900</v>
      </c>
      <c r="B179" t="inlineStr">
        <is>
          <t>Harness</t>
        </is>
      </c>
    </row>
  </sheetData>
  <mergeCells count="1">
    <mergeCell ref="A1:B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HS Compliance Checker</dc:creator>
  <dc:language>en-US</dc:language>
  <dcterms:created xsi:type="dcterms:W3CDTF">2026-03-30T16:23:19Z</dcterms:created>
  <dcterms:modified xsi:type="dcterms:W3CDTF">2026-04-02T11:40:55Z</dcterms:modified>
  <cp:lastModifiedBy>HS Compliance Checker</cp:lastModifiedBy>
  <cp:revision>0</cp:revision>
</cp:coreProperties>
</file>